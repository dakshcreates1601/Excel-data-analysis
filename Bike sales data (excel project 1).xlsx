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ta Analysis Excel\"/>
    </mc:Choice>
  </mc:AlternateContent>
  <xr:revisionPtr revIDLastSave="0" documentId="8_{17A043E2-768E-4E2D-9535-21E783E0F9E6}" xr6:coauthVersionLast="47" xr6:coauthVersionMax="47" xr10:uidLastSave="{00000000-0000-0000-0000-000000000000}"/>
  <bookViews>
    <workbookView xWindow="-108" yWindow="-108" windowWidth="23256" windowHeight="13176" activeTab="2" xr2:uid="{00000000-000D-0000-FFFF-FFFF00000000}"/>
  </bookViews>
  <sheets>
    <sheet name="bike_buyers" sheetId="1" r:id="rId1"/>
    <sheet name="Sheet1" sheetId="2" r:id="rId2"/>
    <sheet name="Sheet2"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1" l="1"/>
  <c r="M5" i="1"/>
  <c r="M3"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<sst xmlns="http://schemas.openxmlformats.org/spreadsheetml/2006/main" count="8046" uniqueCount="47">
  <si>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</si>
  <si>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</si>
  <si>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</si>
  <si>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</si>
  <si>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</si>
  <si>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</si>
  <si>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</si>
  <si>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</si>
  <si>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</si>
  <si>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</si>
  <si>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</si>
  <si>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</si>
  <si>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</si>
  <si>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</si>
  <si>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</si>
  <si>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</si>
  <si>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</si>
  <si>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</si>
  <si>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</si>
  <si>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</si>
  <si>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</si>
  <si>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</si>
  <si>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</si>
  <si>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</si>
  <si>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</si>
  <si>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</si>
  <si>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</si>
  <si>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</si>
  <si>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</si>
  <si>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</si>
  <si>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</si>
  <si>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</si>
  <si>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</si>
  <si>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</si>
  <si>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 xml:space="preserve">Male </t>
  </si>
  <si>
    <t>Female</t>
  </si>
  <si>
    <t xml:space="preserve">Age bracket </t>
  </si>
  <si>
    <t>Row Labels</t>
  </si>
  <si>
    <t>Grand Total</t>
  </si>
  <si>
    <t>Column Labels</t>
  </si>
  <si>
    <t>Average of Income</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</si>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</sst>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(excel project 1).xlsx]Sheet1!PivotTable1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29265966754155726"/>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1227034120735"/>
          <c:y val="0.13786818314377369"/>
          <c:w val="0.59765507436570431"/>
          <c:h val="0.65853091280256637"/>
        </c:manualLayout>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 </c:v>
                </c:pt>
              </c:strCache>
            </c:strRef>
          </c:cat>
          <c:val>
            <c:numRef>
              <c:f>Sheet1!$B$5:$B$7</c:f>
              <c:numCache>
                <c:formatCode>0.00</c:formatCode>
                <c:ptCount val="2"/>
                <c:pt idx="0">
                  <c:v>54885.496183206109</c:v>
                </c:pt>
                <c:pt idx="1">
                  <c:v>59431.818181818184</c:v>
                </c:pt>
              </c:numCache>
            </c:numRef>
          </c:val>
          <c:extLst>
            <c:ext xmlns:c16="http://schemas.microsoft.com/office/drawing/2014/chart" uri="{C3380CC4-5D6E-409C-BE32-E72D297353CC}">
              <c16:uniqueId val="{00000000-C3B3-41B5-8DBF-C659B7D5A517}"/>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 </c:v>
                </c:pt>
              </c:strCache>
            </c:strRef>
          </c:cat>
          <c:val>
            <c:numRef>
              <c:f>Sheet1!$C$5:$C$7</c:f>
              <c:numCache>
                <c:formatCode>0.00</c:formatCode>
                <c:ptCount val="2"/>
                <c:pt idx="0">
                  <c:v>59259.259259259263</c:v>
                </c:pt>
                <c:pt idx="1">
                  <c:v>61300.813008130084</c:v>
                </c:pt>
              </c:numCache>
            </c:numRef>
          </c:val>
          <c:extLst>
            <c:ext xmlns:c16="http://schemas.microsoft.com/office/drawing/2014/chart" uri="{C3380CC4-5D6E-409C-BE32-E72D297353CC}">
              <c16:uniqueId val="{00000001-C3B3-41B5-8DBF-C659B7D5A517}"/>
            </c:ext>
          </c:extLst>
        </c:ser>
        <c:dLbls>
          <c:showLegendKey val="0"/>
          <c:showVal val="0"/>
          <c:showCatName val="0"/>
          <c:showSerName val="0"/>
          <c:showPercent val="0"/>
          <c:showBubbleSize val="0"/>
        </c:dLbls>
        <c:gapWidth val="219"/>
        <c:overlap val="-27"/>
        <c:axId val="322843439"/>
        <c:axId val="322840559"/>
      </c:barChart>
      <c:catAx>
        <c:axId val="32284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692935258092735"/>
              <c:y val="0.866761446485856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40559"/>
        <c:crosses val="autoZero"/>
        <c:auto val="1"/>
        <c:lblAlgn val="ctr"/>
        <c:lblOffset val="100"/>
        <c:noMultiLvlLbl val="0"/>
      </c:catAx>
      <c:valAx>
        <c:axId val="322840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r>
                  <a:rPr lang="en-IN" baseline="0"/>
                  <a:t> </a:t>
                </a:r>
                <a:endParaRPr lang="en-IN"/>
              </a:p>
            </c:rich>
          </c:tx>
          <c:layout>
            <c:manualLayout>
              <c:xMode val="edge"/>
              <c:yMode val="edge"/>
              <c:x val="1.6097112860892389E-2"/>
              <c:y val="0.419980679498396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434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(excel project 1).xlsx]Sheet1!PivotTable2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65559863585383E-2"/>
          <c:y val="0.14705774637267466"/>
          <c:w val="0.6735301837270341"/>
          <c:h val="0.65853091280256637"/>
        </c:manualLayout>
      </c:layout>
      <c:lineChart>
        <c:grouping val="standard"/>
        <c:varyColors val="0"/>
        <c:ser>
          <c:idx val="0"/>
          <c:order val="0"/>
          <c:tx>
            <c:strRef>
              <c:f>Sheet1!$C$20:$C$21</c:f>
              <c:strCache>
                <c:ptCount val="1"/>
                <c:pt idx="0">
                  <c:v>No</c:v>
                </c:pt>
              </c:strCache>
            </c:strRef>
          </c:tx>
          <c:spPr>
            <a:ln w="28575" cap="rnd">
              <a:solidFill>
                <a:schemeClr val="accent1"/>
              </a:solidFill>
              <a:round/>
            </a:ln>
            <a:effectLst/>
          </c:spPr>
          <c:marker>
            <c:symbol val="none"/>
          </c:marker>
          <c:cat>
            <c:strRef>
              <c:f>Sheet1!$B$22:$B$27</c:f>
              <c:strCache>
                <c:ptCount val="5"/>
                <c:pt idx="0">
                  <c:v>0-1 Miles</c:v>
                </c:pt>
                <c:pt idx="1">
                  <c:v>1-2 Miles</c:v>
                </c:pt>
                <c:pt idx="2">
                  <c:v>2-5 Miles</c:v>
                </c:pt>
                <c:pt idx="3">
                  <c:v>5-10 Miles</c:v>
                </c:pt>
                <c:pt idx="4">
                  <c:v>More than 10 miles</c:v>
                </c:pt>
              </c:strCache>
            </c:strRef>
          </c:cat>
          <c:val>
            <c:numRef>
              <c:f>Sheet1!$C$22:$C$27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78A-491A-A44E-522D194ACD78}"/>
            </c:ext>
          </c:extLst>
        </c:ser>
        <c:ser>
          <c:idx val="1"/>
          <c:order val="1"/>
          <c:tx>
            <c:strRef>
              <c:f>Sheet1!$D$20:$D$21</c:f>
              <c:strCache>
                <c:ptCount val="1"/>
                <c:pt idx="0">
                  <c:v>Yes</c:v>
                </c:pt>
              </c:strCache>
            </c:strRef>
          </c:tx>
          <c:spPr>
            <a:ln w="28575" cap="rnd">
              <a:solidFill>
                <a:schemeClr val="accent2"/>
              </a:solidFill>
              <a:round/>
            </a:ln>
            <a:effectLst/>
          </c:spPr>
          <c:marker>
            <c:symbol val="none"/>
          </c:marker>
          <c:cat>
            <c:strRef>
              <c:f>Sheet1!$B$22:$B$27</c:f>
              <c:strCache>
                <c:ptCount val="5"/>
                <c:pt idx="0">
                  <c:v>0-1 Miles</c:v>
                </c:pt>
                <c:pt idx="1">
                  <c:v>1-2 Miles</c:v>
                </c:pt>
                <c:pt idx="2">
                  <c:v>2-5 Miles</c:v>
                </c:pt>
                <c:pt idx="3">
                  <c:v>5-10 Miles</c:v>
                </c:pt>
                <c:pt idx="4">
                  <c:v>More than 10 miles</c:v>
                </c:pt>
              </c:strCache>
            </c:strRef>
          </c:cat>
          <c:val>
            <c:numRef>
              <c:f>Sheet1!$D$22:$D$27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78A-491A-A44E-522D194ACD78}"/>
            </c:ext>
          </c:extLst>
        </c:ser>
        <c:dLbls>
          <c:showLegendKey val="0"/>
          <c:showVal val="0"/>
          <c:showCatName val="0"/>
          <c:showSerName val="0"/>
          <c:showPercent val="0"/>
          <c:showBubbleSize val="0"/>
        </c:dLbls>
        <c:smooth val="0"/>
        <c:axId val="1008794223"/>
        <c:axId val="1008777903"/>
      </c:lineChart>
      <c:catAx>
        <c:axId val="100879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77903"/>
        <c:crosses val="autoZero"/>
        <c:auto val="1"/>
        <c:lblAlgn val="ctr"/>
        <c:lblOffset val="100"/>
        <c:noMultiLvlLbl val="0"/>
      </c:catAx>
      <c:valAx>
        <c:axId val="100877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9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(excel project 1).xlsx]Sheet1!PivotTable3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Sheet1!$C$39:$C$40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Sheet1!$B$41:$B$44</c:f>
              <c:strCache>
                <c:ptCount val="3"/>
                <c:pt idx="0">
                  <c:v>Adolescent</c:v>
                </c:pt>
                <c:pt idx="1">
                  <c:v>Middle Age</c:v>
                </c:pt>
                <c:pt idx="2">
                  <c:v>Old</c:v>
                </c:pt>
              </c:strCache>
            </c:strRef>
          </c:cat>
          <c:val>
            <c:numRef>
              <c:f>Sheet1!$C$41:$C$44</c:f>
              <c:numCache>
                <c:formatCode>General</c:formatCode>
                <c:ptCount val="3"/>
                <c:pt idx="0">
                  <c:v>71</c:v>
                </c:pt>
                <c:pt idx="1">
                  <c:v>312</c:v>
                </c:pt>
                <c:pt idx="2">
                  <c:v>136</c:v>
                </c:pt>
              </c:numCache>
            </c:numRef>
          </c:val>
          <c:smooth val="0"/>
          <c:extLst>
            <c:ext xmlns:c16="http://schemas.microsoft.com/office/drawing/2014/chart" uri="{C3380CC4-5D6E-409C-BE32-E72D297353CC}">
              <c16:uniqueId val="{00000000-EF0B-4F4D-951F-8E431CF464D5}"/>
            </c:ext>
          </c:extLst>
        </c:ser>
        <c:ser>
          <c:idx val="1"/>
          <c:order val="1"/>
          <c:tx>
            <c:strRef>
              <c:f>Sheet1!$D$39:$D$40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Sheet1!$B$41:$B$44</c:f>
              <c:strCache>
                <c:ptCount val="3"/>
                <c:pt idx="0">
                  <c:v>Adolescent</c:v>
                </c:pt>
                <c:pt idx="1">
                  <c:v>Middle Age</c:v>
                </c:pt>
                <c:pt idx="2">
                  <c:v>Old</c:v>
                </c:pt>
              </c:strCache>
            </c:strRef>
          </c:cat>
          <c:val>
            <c:numRef>
              <c:f>Sheet1!$D$41:$D$44</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EF0B-4F4D-951F-8E431CF464D5}"/>
            </c:ext>
          </c:extLst>
        </c:ser>
        <c:dLbls>
          <c:showLegendKey val="0"/>
          <c:showVal val="0"/>
          <c:showCatName val="0"/>
          <c:showSerName val="0"/>
          <c:showPercent val="0"/>
          <c:showBubbleSize val="0"/>
        </c:dLbls>
        <c:marker val="1"/>
        <c:smooth val="0"/>
        <c:axId val="1552160112"/>
        <c:axId val="1552166352"/>
      </c:lineChart>
      <c:catAx>
        <c:axId val="155216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66352"/>
        <c:crosses val="autoZero"/>
        <c:auto val="1"/>
        <c:lblAlgn val="ctr"/>
        <c:lblOffset val="100"/>
        <c:noMultiLvlLbl val="0"/>
      </c:catAx>
      <c:valAx>
        <c:axId val="155216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b</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6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(excel project 1).xlsx]Sheet1!PivotTable1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19796252386065383"/>
          <c:y val="5.2430307007078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12281692636525"/>
          <c:y val="0.13786801930657544"/>
          <c:w val="0.59765507436570431"/>
          <c:h val="0.65853091280256637"/>
        </c:manualLayout>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 </c:v>
                </c:pt>
              </c:strCache>
            </c:strRef>
          </c:cat>
          <c:val>
            <c:numRef>
              <c:f>Sheet1!$B$5:$B$7</c:f>
              <c:numCache>
                <c:formatCode>0.00</c:formatCode>
                <c:ptCount val="2"/>
                <c:pt idx="0">
                  <c:v>54885.496183206109</c:v>
                </c:pt>
                <c:pt idx="1">
                  <c:v>59431.818181818184</c:v>
                </c:pt>
              </c:numCache>
            </c:numRef>
          </c:val>
          <c:extLst>
            <c:ext xmlns:c16="http://schemas.microsoft.com/office/drawing/2014/chart" uri="{C3380CC4-5D6E-409C-BE32-E72D297353CC}">
              <c16:uniqueId val="{00000000-6E58-450C-B07D-322FB2FDBA92}"/>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 </c:v>
                </c:pt>
              </c:strCache>
            </c:strRef>
          </c:cat>
          <c:val>
            <c:numRef>
              <c:f>Sheet1!$C$5:$C$7</c:f>
              <c:numCache>
                <c:formatCode>0.00</c:formatCode>
                <c:ptCount val="2"/>
                <c:pt idx="0">
                  <c:v>59259.259259259263</c:v>
                </c:pt>
                <c:pt idx="1">
                  <c:v>61300.813008130084</c:v>
                </c:pt>
              </c:numCache>
            </c:numRef>
          </c:val>
          <c:extLst>
            <c:ext xmlns:c16="http://schemas.microsoft.com/office/drawing/2014/chart" uri="{C3380CC4-5D6E-409C-BE32-E72D297353CC}">
              <c16:uniqueId val="{00000001-6E58-450C-B07D-322FB2FDBA92}"/>
            </c:ext>
          </c:extLst>
        </c:ser>
        <c:dLbls>
          <c:showLegendKey val="0"/>
          <c:showVal val="0"/>
          <c:showCatName val="0"/>
          <c:showSerName val="0"/>
          <c:showPercent val="0"/>
          <c:showBubbleSize val="0"/>
        </c:dLbls>
        <c:gapWidth val="219"/>
        <c:overlap val="-27"/>
        <c:axId val="322843439"/>
        <c:axId val="322840559"/>
      </c:barChart>
      <c:catAx>
        <c:axId val="32284343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40559"/>
        <c:crosses val="autoZero"/>
        <c:auto val="1"/>
        <c:lblAlgn val="ctr"/>
        <c:lblOffset val="100"/>
        <c:noMultiLvlLbl val="0"/>
      </c:catAx>
      <c:valAx>
        <c:axId val="32284055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8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(excel project 1).xlsx]Sheet1!PivotTable2</c:name>
    <c:fmtId val="5"/>
  </c:pivotSource>
  <c:chart>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65559863585383E-2"/>
          <c:y val="0.14705774637267466"/>
          <c:w val="0.6735301837270341"/>
          <c:h val="0.65853091280256637"/>
        </c:manualLayout>
      </c:layout>
      <c:lineChart>
        <c:grouping val="standard"/>
        <c:varyColors val="0"/>
        <c:ser>
          <c:idx val="0"/>
          <c:order val="0"/>
          <c:tx>
            <c:strRef>
              <c:f>Sheet1!$C$20:$C$21</c:f>
              <c:strCache>
                <c:ptCount val="1"/>
                <c:pt idx="0">
                  <c:v>No</c:v>
                </c:pt>
              </c:strCache>
            </c:strRef>
          </c:tx>
          <c:spPr>
            <a:ln w="28575" cap="rnd">
              <a:solidFill>
                <a:schemeClr val="accent1"/>
              </a:solidFill>
              <a:round/>
            </a:ln>
            <a:effectLst/>
          </c:spPr>
          <c:marker>
            <c:symbol val="none"/>
          </c:marker>
          <c:cat>
            <c:strRef>
              <c:f>Sheet1!$B$22:$B$27</c:f>
              <c:strCache>
                <c:ptCount val="5"/>
                <c:pt idx="0">
                  <c:v>0-1 Miles</c:v>
                </c:pt>
                <c:pt idx="1">
                  <c:v>1-2 Miles</c:v>
                </c:pt>
                <c:pt idx="2">
                  <c:v>2-5 Miles</c:v>
                </c:pt>
                <c:pt idx="3">
                  <c:v>5-10 Miles</c:v>
                </c:pt>
                <c:pt idx="4">
                  <c:v>More than 10 miles</c:v>
                </c:pt>
              </c:strCache>
            </c:strRef>
          </c:cat>
          <c:val>
            <c:numRef>
              <c:f>Sheet1!$C$22:$C$27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483-402E-8C6A-43AAF359F8F8}"/>
            </c:ext>
          </c:extLst>
        </c:ser>
        <c:ser>
          <c:idx val="1"/>
          <c:order val="1"/>
          <c:tx>
            <c:strRef>
              <c:f>Sheet1!$D$20:$D$21</c:f>
              <c:strCache>
                <c:ptCount val="1"/>
                <c:pt idx="0">
                  <c:v>Yes</c:v>
                </c:pt>
              </c:strCache>
            </c:strRef>
          </c:tx>
          <c:spPr>
            <a:ln w="28575" cap="rnd">
              <a:solidFill>
                <a:schemeClr val="accent2"/>
              </a:solidFill>
              <a:round/>
            </a:ln>
            <a:effectLst/>
          </c:spPr>
          <c:marker>
            <c:symbol val="none"/>
          </c:marker>
          <c:cat>
            <c:strRef>
              <c:f>Sheet1!$B$22:$B$27</c:f>
              <c:strCache>
                <c:ptCount val="5"/>
                <c:pt idx="0">
                  <c:v>0-1 Miles</c:v>
                </c:pt>
                <c:pt idx="1">
                  <c:v>1-2 Miles</c:v>
                </c:pt>
                <c:pt idx="2">
                  <c:v>2-5 Miles</c:v>
                </c:pt>
                <c:pt idx="3">
                  <c:v>5-10 Miles</c:v>
                </c:pt>
                <c:pt idx="4">
                  <c:v>More than 10 miles</c:v>
                </c:pt>
              </c:strCache>
            </c:strRef>
          </c:cat>
          <c:val>
            <c:numRef>
              <c:f>Sheet1!$D$22:$D$27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483-402E-8C6A-43AAF359F8F8}"/>
            </c:ext>
          </c:extLst>
        </c:ser>
        <c:dLbls>
          <c:showLegendKey val="0"/>
          <c:showVal val="0"/>
          <c:showCatName val="0"/>
          <c:showSerName val="0"/>
          <c:showPercent val="0"/>
          <c:showBubbleSize val="0"/>
        </c:dLbls>
        <c:smooth val="0"/>
        <c:axId val="1008794223"/>
        <c:axId val="1008777903"/>
      </c:lineChart>
      <c:catAx>
        <c:axId val="100879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77903"/>
        <c:crosses val="autoZero"/>
        <c:auto val="1"/>
        <c:lblAlgn val="ctr"/>
        <c:lblOffset val="100"/>
        <c:noMultiLvlLbl val="0"/>
      </c:catAx>
      <c:valAx>
        <c:axId val="100877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9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 (excel project 1).xlsx]Sheet1!PivotTable3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Sheet1!$C$39:$C$40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Sheet1!$B$41:$B$44</c:f>
              <c:strCache>
                <c:ptCount val="3"/>
                <c:pt idx="0">
                  <c:v>Adolescent</c:v>
                </c:pt>
                <c:pt idx="1">
                  <c:v>Middle Age</c:v>
                </c:pt>
                <c:pt idx="2">
                  <c:v>Old</c:v>
                </c:pt>
              </c:strCache>
            </c:strRef>
          </c:cat>
          <c:val>
            <c:numRef>
              <c:f>Sheet1!$C$41:$C$44</c:f>
              <c:numCache>
                <c:formatCode>General</c:formatCode>
                <c:ptCount val="3"/>
                <c:pt idx="0">
                  <c:v>71</c:v>
                </c:pt>
                <c:pt idx="1">
                  <c:v>312</c:v>
                </c:pt>
                <c:pt idx="2">
                  <c:v>136</c:v>
                </c:pt>
              </c:numCache>
            </c:numRef>
          </c:val>
          <c:smooth val="0"/>
          <c:extLst>
            <c:ext xmlns:c16="http://schemas.microsoft.com/office/drawing/2014/chart" uri="{C3380CC4-5D6E-409C-BE32-E72D297353CC}">
              <c16:uniqueId val="{00000000-B6CE-4262-9F30-6B9C257ADAE3}"/>
            </c:ext>
          </c:extLst>
        </c:ser>
        <c:ser>
          <c:idx val="1"/>
          <c:order val="1"/>
          <c:tx>
            <c:strRef>
              <c:f>Sheet1!$D$39:$D$40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Sheet1!$B$41:$B$44</c:f>
              <c:strCache>
                <c:ptCount val="3"/>
                <c:pt idx="0">
                  <c:v>Adolescent</c:v>
                </c:pt>
                <c:pt idx="1">
                  <c:v>Middle Age</c:v>
                </c:pt>
                <c:pt idx="2">
                  <c:v>Old</c:v>
                </c:pt>
              </c:strCache>
            </c:strRef>
          </c:cat>
          <c:val>
            <c:numRef>
              <c:f>Sheet1!$D$41:$D$44</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B6CE-4262-9F30-6B9C257ADAE3}"/>
            </c:ext>
          </c:extLst>
        </c:ser>
        <c:dLbls>
          <c:showLegendKey val="0"/>
          <c:showVal val="0"/>
          <c:showCatName val="0"/>
          <c:showSerName val="0"/>
          <c:showPercent val="0"/>
          <c:showBubbleSize val="0"/>
        </c:dLbls>
        <c:marker val="1"/>
        <c:smooth val="0"/>
        <c:axId val="1552160112"/>
        <c:axId val="1552166352"/>
      </c:lineChart>
      <c:catAx>
        <c:axId val="1552160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66352"/>
        <c:crosses val="autoZero"/>
        <c:auto val="1"/>
        <c:lblAlgn val="ctr"/>
        <c:lblOffset val="100"/>
        <c:noMultiLvlLbl val="0"/>
      </c:catAx>
      <c:valAx>
        <c:axId val="1552166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b</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6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144780</xdr:rowOff>
    </xdr:from>
    <xdr:to>
      <xdr:col>11</xdr:col>
      <xdr:colOff>533400</xdr:colOff>
      <xdr:row>16</xdr:row>
      <xdr:rowOff>144780</xdr:rowOff>
    </xdr:to>
    <xdr:graphicFrame macro="">
      <xdr:nvGraphicFramePr>
        <xdr:cNvPr id="2" name="Chart 1">
          <a:extLst>
            <a:ext uri="{FF2B5EF4-FFF2-40B4-BE49-F238E27FC236}">
              <a16:creationId xmlns:a16="http://schemas.microsoft.com/office/drawing/2014/main" id="{02D2D770-B6AB-2F59-9383-9B14BA8C0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20</xdr:row>
      <xdr:rowOff>11430</xdr:rowOff>
    </xdr:from>
    <xdr:to>
      <xdr:col>13</xdr:col>
      <xdr:colOff>213360</xdr:colOff>
      <xdr:row>35</xdr:row>
      <xdr:rowOff>53340</xdr:rowOff>
    </xdr:to>
    <xdr:graphicFrame macro="">
      <xdr:nvGraphicFramePr>
        <xdr:cNvPr id="3" name="Chart 2">
          <a:extLst>
            <a:ext uri="{FF2B5EF4-FFF2-40B4-BE49-F238E27FC236}">
              <a16:creationId xmlns:a16="http://schemas.microsoft.com/office/drawing/2014/main" id="{3B2E5CBF-38CB-4E71-0A0F-E0257E45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708660</xdr:colOff>
      <xdr:row>38</xdr:row>
      <xdr:rowOff>30480</xdr:rowOff>
    </xdr:from>
    <xdr:to>
      <xdr:col>13</xdr:col>
      <xdr:colOff>274320</xdr:colOff>
      <xdr:row>53</xdr:row>
      <xdr:rowOff>30480</xdr:rowOff>
    </xdr:to>
    <xdr:graphicFrame macro="">
      <xdr:nvGraphicFramePr>
        <xdr:cNvPr id="4" name="Chart 3">
          <a:extLst>
            <a:ext uri="{FF2B5EF4-FFF2-40B4-BE49-F238E27FC236}">
              <a16:creationId xmlns:a16="http://schemas.microsoft.com/office/drawing/2014/main" id="{CCC68285-A5B7-7A20-1D2D-22B928298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266700</xdr:colOff>
      <xdr:row>6</xdr:row>
      <xdr:rowOff>15240</xdr:rowOff>
    </xdr:from>
    <xdr:to>
      <xdr:col>11</xdr:col>
      <xdr:colOff>7620</xdr:colOff>
      <xdr:row>17</xdr:row>
      <xdr:rowOff>15240</xdr:rowOff>
    </xdr:to>
    <xdr:graphicFrame macro="">
      <xdr:nvGraphicFramePr>
        <xdr:cNvPr id="2" name="Chart 1">
          <a:extLst>
            <a:ext uri="{FF2B5EF4-FFF2-40B4-BE49-F238E27FC236}">
              <a16:creationId xmlns:a16="http://schemas.microsoft.com/office/drawing/2014/main" id="{F9812B98-496E-421C-AEDA-511498902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175260</xdr:colOff>
      <xdr:row>17</xdr:row>
      <xdr:rowOff>30480</xdr:rowOff>
    </xdr:from>
    <xdr:to>
      <xdr:col>11</xdr:col>
      <xdr:colOff>0</xdr:colOff>
      <xdr:row>31</xdr:row>
      <xdr:rowOff>38100</xdr:rowOff>
    </xdr:to>
    <xdr:graphicFrame macro="">
      <xdr:nvGraphicFramePr>
        <xdr:cNvPr id="3" name="Chart 2">
          <a:extLst>
            <a:ext uri="{FF2B5EF4-FFF2-40B4-BE49-F238E27FC236}">
              <a16:creationId xmlns:a16="http://schemas.microsoft.com/office/drawing/2014/main" id="{BA199D98-26E9-4581-9EFC-5CA519C8E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6</xdr:row>
      <xdr:rowOff>7620</xdr:rowOff>
    </xdr:from>
    <xdr:to>
      <xdr:col>6</xdr:col>
      <xdr:colOff>281940</xdr:colOff>
      <xdr:row>17</xdr:row>
      <xdr:rowOff>30480</xdr:rowOff>
    </xdr:to>
    <xdr:graphicFrame macro="">
      <xdr:nvGraphicFramePr>
        <xdr:cNvPr id="4" name="Chart 3">
          <a:extLst>
            <a:ext uri="{FF2B5EF4-FFF2-40B4-BE49-F238E27FC236}">
              <a16:creationId xmlns:a16="http://schemas.microsoft.com/office/drawing/2014/main" id="{2BF1EA30-457F-4A3C-B38C-054B5A608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7621</xdr:rowOff>
    </xdr:from>
    <xdr:to>
      <xdr:col>2</xdr:col>
      <xdr:colOff>198120</xdr:colOff>
      <xdr:row>11</xdr:row>
      <xdr:rowOff>53340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CC4500E-C550-8DCF-E811-1193C9887D3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4901"/>
              <a:ext cx="141732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22861</xdr:rowOff>
    </xdr:from>
    <xdr:to>
      <xdr:col>2</xdr:col>
      <xdr:colOff>190500</xdr:colOff>
      <xdr:row>20</xdr:row>
      <xdr:rowOff>68581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D078527-E6A5-209A-CC0C-C8E2232E8AD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34541"/>
              <a:ext cx="14097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15240</xdr:rowOff>
    </xdr:from>
    <xdr:to>
      <xdr:col>2</xdr:col>
      <xdr:colOff>190500</xdr:colOff>
      <xdr:row>31</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2011BAF-B077-39D2-8EE3-BC4DB7879E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3672840"/>
              <a:ext cx="1402080" cy="177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ksh bhatnagar" refreshedDate="46063.024929861109" createdVersion="8" refreshedVersion="8" minRefreshableVersion="3" recordCount="1000" xr:uid="{CD9FBE3F-7DD8-49ED-854E-FA903ABE3BCE}">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38468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1"/>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7135F1-2C42-4B39-862A-7672CE56D0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9:E44"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1AED02-ADF4-4DCA-977A-06BD9B4F9A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h="1" x="1"/>
        <item t="default"/>
      </items>
    </pivotField>
    <pivotField axis="axisRow" multipleItemSelectionAllowed="1"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A54B7-A41C-4FEC-81E6-3427772009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0:E27"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4F1A57-C912-4627-988B-EA6B93F6C334}" sourceName="Marital Status">
  <pivotTables>
    <pivotTable tabId="2" name="PivotTable1"/>
  </pivotTables>
  <data>
    <tabular pivotCacheId="183846846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44831A9-59E1-491B-BA44-1E41A359F5E7}" sourceName="Education">
  <pivotTables>
    <pivotTable tabId="2" name="PivotTable3"/>
  </pivotTables>
  <data>
    <tabular pivotCacheId="183846846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63324D-262D-4E00-9FCA-85D09DDFBE6F}" sourceName="Region">
  <pivotTables>
    <pivotTable tabId="2" name="PivotTable3"/>
  </pivotTables>
  <data>
    <tabular pivotCacheId="18384684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C34B0B6-0510-45B3-90EA-2C4C61C2FC99}" cache="Slicer_Marital_Status" caption="Marital Status" rowHeight="234950"/>
  <slicer name="Education" xr10:uid="{D7AB7A88-7103-4C93-A3F0-EA355A53796C}" cache="Slicer_Education" caption="Education" rowHeight="234950"/>
  <slicer name="Region" xr10:uid="{9686E5DB-BC82-4F3D-870C-EC8E94BA091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1" zoomScale="90" zoomScaleNormal="190" workbookViewId="0">
      <selection activeCell="J13" sqref="J13"/>
    </sheetView>
  </sheetViews>
  <sheetFormatPr defaultColWidth="11.88671875" defaultRowHeight="14.4" x14ac:dyDescent="0.3"/>
  <cols>
    <col min="1" max="1" width="6" bestFit="1" customWidth="1"/>
    <col min="2" max="2" width="12.33203125" bestFit="1" customWidth="1"/>
    <col min="3" max="3" width="9.88671875" bestFit="1" customWidth="1"/>
    <col min="4" max="4" width="12.5546875" bestFit="1" customWidth="1"/>
    <col min="5" max="5" width="10.77734375" bestFit="1" customWidth="1"/>
    <col min="6" max="6" width="17.44140625" bestFit="1" customWidth="1"/>
    <col min="7" max="7" width="13.6640625" bestFit="1" customWidth="1"/>
    <col min="8" max="8" width="14.88671875" bestFit="1" customWidth="1"/>
    <col min="9" max="9" width="7.21875" bestFit="1" customWidth="1"/>
    <col min="10" max="10" width="16.5546875" bestFit="1" customWidth="1"/>
    <col min="11" max="11" width="13.6640625" bestFit="1" customWidth="1"/>
    <col min="12" max="12" width="6.77734375" bestFit="1" customWidth="1"/>
    <col min="13" max="13" width="14.21875" bestFit="1" customWidth="1"/>
    <col min="14" max="14" width="16.5546875" bestFit="1"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32</v>
      </c>
      <c r="C2" t="s">
        <v>35</v>
      </c>
      <c r="D2" s="1">
        <v>40000</v>
      </c>
      <c r="E2">
        <v>1</v>
      </c>
      <c r="F2" t="s">
        <v>13</v>
      </c>
      <c r="G2" t="s">
        <v>14</v>
      </c>
      <c r="H2" t="s">
        <v>15</v>
      </c>
      <c r="I2">
        <v>0</v>
      </c>
      <c r="J2" t="s">
        <v>16</v>
      </c>
      <c r="K2" t="s">
        <v>17</v>
      </c>
      <c r="L2">
        <v>42</v>
      </c>
      <c r="M2" t="str">
        <f>IF(L3&gt;=54,"Old",IF(L3&gt;=31,"Middle Age",IF(L3&lt;31,"Adolescent","Invalid")))</f>
        <v>Middle Age</v>
      </c>
      <c r="N2" t="s">
        <v>18</v>
      </c>
    </row>
    <row r="3" spans="1:14" x14ac:dyDescent="0.3">
      <c r="A3">
        <v>24107</v>
      </c>
      <c r="B3" t="s">
        <v>32</v>
      </c>
      <c r="C3" t="s">
        <v>34</v>
      </c>
      <c r="D3" s="1">
        <v>30000</v>
      </c>
      <c r="E3">
        <v>3</v>
      </c>
      <c r="F3" t="s">
        <v>19</v>
      </c>
      <c r="G3" t="s">
        <v>20</v>
      </c>
      <c r="H3" t="s">
        <v>15</v>
      </c>
      <c r="I3">
        <v>1</v>
      </c>
      <c r="J3" t="s">
        <v>16</v>
      </c>
      <c r="K3" t="s">
        <v>17</v>
      </c>
      <c r="L3">
        <v>43</v>
      </c>
      <c r="M3" t="str">
        <f>IF(L4&gt;=54,"Old",IF(L4&gt;=31,"Middle Age",IF(L4&lt;31,"Adolescent","Invalid")))</f>
        <v>Old</v>
      </c>
      <c r="N3" t="s">
        <v>18</v>
      </c>
    </row>
    <row r="4" spans="1:14" x14ac:dyDescent="0.3">
      <c r="A4">
        <v>14177</v>
      </c>
      <c r="B4" t="s">
        <v>32</v>
      </c>
      <c r="C4" t="s">
        <v>34</v>
      </c>
      <c r="D4" s="1">
        <v>80000</v>
      </c>
      <c r="E4">
        <v>5</v>
      </c>
      <c r="F4" t="s">
        <v>19</v>
      </c>
      <c r="G4" t="s">
        <v>21</v>
      </c>
      <c r="H4" t="s">
        <v>18</v>
      </c>
      <c r="I4">
        <v>2</v>
      </c>
      <c r="J4" t="s">
        <v>22</v>
      </c>
      <c r="K4" t="s">
        <v>17</v>
      </c>
      <c r="L4">
        <v>60</v>
      </c>
      <c r="M4" t="str">
        <f t="shared" ref="M4:M67" si="0">IF(L4&gt;=54,"Old",IF(L4&gt;=31,"Middle Age",IF(L4&lt;31,"Adolescent","Invalid")))</f>
        <v>Old</v>
      </c>
      <c r="N4" t="s">
        <v>18</v>
      </c>
    </row>
    <row r="5" spans="1:14" x14ac:dyDescent="0.3">
      <c r="A5">
        <v>24381</v>
      </c>
      <c r="B5" t="s">
        <v>33</v>
      </c>
      <c r="C5" t="s">
        <v>34</v>
      </c>
      <c r="D5" s="1">
        <v>70000</v>
      </c>
      <c r="E5">
        <v>0</v>
      </c>
      <c r="F5" t="s">
        <v>13</v>
      </c>
      <c r="G5" t="s">
        <v>21</v>
      </c>
      <c r="H5" t="s">
        <v>15</v>
      </c>
      <c r="I5">
        <v>1</v>
      </c>
      <c r="J5" t="s">
        <v>23</v>
      </c>
      <c r="K5" t="s">
        <v>24</v>
      </c>
      <c r="L5">
        <v>41</v>
      </c>
      <c r="M5" t="str">
        <f t="shared" si="0"/>
        <v>Middle Age</v>
      </c>
      <c r="N5" t="s">
        <v>15</v>
      </c>
    </row>
    <row r="6" spans="1:14" x14ac:dyDescent="0.3">
      <c r="A6">
        <v>25597</v>
      </c>
      <c r="B6" t="s">
        <v>33</v>
      </c>
      <c r="C6" t="s">
        <v>34</v>
      </c>
      <c r="D6" s="1">
        <v>30000</v>
      </c>
      <c r="E6">
        <v>0</v>
      </c>
      <c r="F6" t="s">
        <v>13</v>
      </c>
      <c r="G6" t="s">
        <v>20</v>
      </c>
      <c r="H6" t="s">
        <v>18</v>
      </c>
      <c r="I6">
        <v>0</v>
      </c>
      <c r="J6" t="s">
        <v>16</v>
      </c>
      <c r="K6" t="s">
        <v>17</v>
      </c>
      <c r="L6">
        <v>36</v>
      </c>
      <c r="M6" t="str">
        <f t="shared" si="0"/>
        <v>Middle Age</v>
      </c>
      <c r="N6" t="s">
        <v>15</v>
      </c>
    </row>
    <row r="7" spans="1:14" x14ac:dyDescent="0.3">
      <c r="A7">
        <v>13507</v>
      </c>
      <c r="B7" t="s">
        <v>32</v>
      </c>
      <c r="C7" t="s">
        <v>35</v>
      </c>
      <c r="D7" s="1">
        <v>10000</v>
      </c>
      <c r="E7">
        <v>2</v>
      </c>
      <c r="F7" t="s">
        <v>19</v>
      </c>
      <c r="G7" t="s">
        <v>25</v>
      </c>
      <c r="H7" t="s">
        <v>15</v>
      </c>
      <c r="I7">
        <v>0</v>
      </c>
      <c r="J7" t="s">
        <v>26</v>
      </c>
      <c r="K7" t="s">
        <v>17</v>
      </c>
      <c r="L7">
        <v>50</v>
      </c>
      <c r="M7" t="str">
        <f t="shared" si="0"/>
        <v>Middle Age</v>
      </c>
      <c r="N7" t="s">
        <v>18</v>
      </c>
    </row>
    <row r="8" spans="1:14" x14ac:dyDescent="0.3">
      <c r="A8">
        <v>27974</v>
      </c>
      <c r="B8" t="s">
        <v>33</v>
      </c>
      <c r="C8" t="s">
        <v>34</v>
      </c>
      <c r="D8" s="1">
        <v>160000</v>
      </c>
      <c r="E8">
        <v>2</v>
      </c>
      <c r="F8" t="s">
        <v>27</v>
      </c>
      <c r="G8" t="s">
        <v>28</v>
      </c>
      <c r="H8" t="s">
        <v>15</v>
      </c>
      <c r="I8">
        <v>4</v>
      </c>
      <c r="J8" t="s">
        <v>16</v>
      </c>
      <c r="K8" t="s">
        <v>24</v>
      </c>
      <c r="L8">
        <v>33</v>
      </c>
      <c r="M8" t="str">
        <f t="shared" si="0"/>
        <v>Middle Age</v>
      </c>
      <c r="N8" t="s">
        <v>15</v>
      </c>
    </row>
    <row r="9" spans="1:14" x14ac:dyDescent="0.3">
      <c r="A9">
        <v>19364</v>
      </c>
      <c r="B9" t="s">
        <v>32</v>
      </c>
      <c r="C9" t="s">
        <v>34</v>
      </c>
      <c r="D9" s="1">
        <v>40000</v>
      </c>
      <c r="E9">
        <v>1</v>
      </c>
      <c r="F9" t="s">
        <v>13</v>
      </c>
      <c r="G9" t="s">
        <v>14</v>
      </c>
      <c r="H9" t="s">
        <v>15</v>
      </c>
      <c r="I9">
        <v>0</v>
      </c>
      <c r="J9" t="s">
        <v>16</v>
      </c>
      <c r="K9" t="s">
        <v>17</v>
      </c>
      <c r="L9">
        <v>43</v>
      </c>
      <c r="M9" t="str">
        <f t="shared" si="0"/>
        <v>Middle Age</v>
      </c>
      <c r="N9" t="s">
        <v>15</v>
      </c>
    </row>
    <row r="10" spans="1:14" x14ac:dyDescent="0.3">
      <c r="A10">
        <v>22155</v>
      </c>
      <c r="B10" t="s">
        <v>32</v>
      </c>
      <c r="C10" t="s">
        <v>34</v>
      </c>
      <c r="D10" s="1">
        <v>20000</v>
      </c>
      <c r="E10">
        <v>2</v>
      </c>
      <c r="F10" t="s">
        <v>29</v>
      </c>
      <c r="G10" t="s">
        <v>20</v>
      </c>
      <c r="H10" t="s">
        <v>15</v>
      </c>
      <c r="I10">
        <v>2</v>
      </c>
      <c r="J10" t="s">
        <v>23</v>
      </c>
      <c r="K10" t="s">
        <v>24</v>
      </c>
      <c r="L10">
        <v>58</v>
      </c>
      <c r="M10" t="str">
        <f t="shared" si="0"/>
        <v>Old</v>
      </c>
      <c r="N10" t="s">
        <v>18</v>
      </c>
    </row>
    <row r="11" spans="1:14" x14ac:dyDescent="0.3">
      <c r="A11">
        <v>19280</v>
      </c>
      <c r="B11" t="s">
        <v>32</v>
      </c>
      <c r="C11" t="s">
        <v>34</v>
      </c>
      <c r="D11" s="1">
        <v>120000</v>
      </c>
      <c r="E11">
        <v>2</v>
      </c>
      <c r="F11" t="s">
        <v>19</v>
      </c>
      <c r="G11" t="s">
        <v>25</v>
      </c>
      <c r="H11" t="s">
        <v>15</v>
      </c>
      <c r="I11">
        <v>1</v>
      </c>
      <c r="J11" t="s">
        <v>16</v>
      </c>
      <c r="K11" t="s">
        <v>17</v>
      </c>
      <c r="L11">
        <v>40</v>
      </c>
      <c r="M11" t="str">
        <f t="shared" si="0"/>
        <v>Middle Age</v>
      </c>
      <c r="N11" t="s">
        <v>15</v>
      </c>
    </row>
    <row r="12" spans="1:14" x14ac:dyDescent="0.3">
      <c r="A12">
        <v>22173</v>
      </c>
      <c r="B12" t="s">
        <v>32</v>
      </c>
      <c r="C12" t="s">
        <v>35</v>
      </c>
      <c r="D12" s="1">
        <v>30000</v>
      </c>
      <c r="E12">
        <v>3</v>
      </c>
      <c r="F12" t="s">
        <v>27</v>
      </c>
      <c r="G12" t="s">
        <v>14</v>
      </c>
      <c r="H12" t="s">
        <v>18</v>
      </c>
      <c r="I12">
        <v>2</v>
      </c>
      <c r="J12" t="s">
        <v>26</v>
      </c>
      <c r="K12" t="s">
        <v>24</v>
      </c>
      <c r="L12">
        <v>54</v>
      </c>
      <c r="M12" t="str">
        <f t="shared" si="0"/>
        <v>Old</v>
      </c>
      <c r="N12" t="s">
        <v>15</v>
      </c>
    </row>
    <row r="13" spans="1:14" x14ac:dyDescent="0.3">
      <c r="A13">
        <v>12697</v>
      </c>
      <c r="B13" t="s">
        <v>33</v>
      </c>
      <c r="C13" t="s">
        <v>35</v>
      </c>
      <c r="D13" s="1">
        <v>90000</v>
      </c>
      <c r="E13">
        <v>0</v>
      </c>
      <c r="F13" t="s">
        <v>13</v>
      </c>
      <c r="G13" t="s">
        <v>21</v>
      </c>
      <c r="H13" t="s">
        <v>18</v>
      </c>
      <c r="I13">
        <v>4</v>
      </c>
      <c r="J13" t="s">
        <v>42</v>
      </c>
      <c r="K13" t="s">
        <v>24</v>
      </c>
      <c r="L13">
        <v>36</v>
      </c>
      <c r="M13" t="str">
        <f t="shared" si="0"/>
        <v>Middle Age</v>
      </c>
      <c r="N13" t="s">
        <v>18</v>
      </c>
    </row>
    <row r="14" spans="1:14" x14ac:dyDescent="0.3">
      <c r="A14">
        <v>11434</v>
      </c>
      <c r="B14" t="s">
        <v>32</v>
      </c>
      <c r="C14" t="s">
        <v>34</v>
      </c>
      <c r="D14" s="1">
        <v>170000</v>
      </c>
      <c r="E14">
        <v>5</v>
      </c>
      <c r="F14" t="s">
        <v>19</v>
      </c>
      <c r="G14" t="s">
        <v>21</v>
      </c>
      <c r="H14" t="s">
        <v>15</v>
      </c>
      <c r="I14">
        <v>0</v>
      </c>
      <c r="J14" t="s">
        <v>16</v>
      </c>
      <c r="K14" t="s">
        <v>17</v>
      </c>
      <c r="L14">
        <v>55</v>
      </c>
      <c r="M14" t="str">
        <f t="shared" si="0"/>
        <v>Old</v>
      </c>
      <c r="N14" t="s">
        <v>18</v>
      </c>
    </row>
    <row r="15" spans="1:14" x14ac:dyDescent="0.3">
      <c r="A15">
        <v>25323</v>
      </c>
      <c r="B15" t="s">
        <v>32</v>
      </c>
      <c r="C15" t="s">
        <v>34</v>
      </c>
      <c r="D15" s="1">
        <v>40000</v>
      </c>
      <c r="E15">
        <v>2</v>
      </c>
      <c r="F15" t="s">
        <v>19</v>
      </c>
      <c r="G15" t="s">
        <v>20</v>
      </c>
      <c r="H15" t="s">
        <v>15</v>
      </c>
      <c r="I15">
        <v>1</v>
      </c>
      <c r="J15" t="s">
        <v>26</v>
      </c>
      <c r="K15" t="s">
        <v>17</v>
      </c>
      <c r="L15">
        <v>35</v>
      </c>
      <c r="M15" t="str">
        <f t="shared" si="0"/>
        <v>Middle Age</v>
      </c>
      <c r="N15" t="s">
        <v>15</v>
      </c>
    </row>
    <row r="16" spans="1:14" x14ac:dyDescent="0.3">
      <c r="A16">
        <v>23542</v>
      </c>
      <c r="B16" t="s">
        <v>33</v>
      </c>
      <c r="C16" t="s">
        <v>34</v>
      </c>
      <c r="D16" s="1">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1">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1">
        <v>30000</v>
      </c>
      <c r="E18">
        <v>3</v>
      </c>
      <c r="F18" t="s">
        <v>19</v>
      </c>
      <c r="G18" t="s">
        <v>20</v>
      </c>
      <c r="H18" t="s">
        <v>18</v>
      </c>
      <c r="I18">
        <v>2</v>
      </c>
      <c r="J18" t="s">
        <v>26</v>
      </c>
      <c r="K18" t="s">
        <v>24</v>
      </c>
      <c r="L18">
        <v>59</v>
      </c>
      <c r="M18" t="str">
        <f t="shared" si="0"/>
        <v>Old</v>
      </c>
      <c r="N18" t="s">
        <v>15</v>
      </c>
    </row>
    <row r="19" spans="1:14" x14ac:dyDescent="0.3">
      <c r="A19">
        <v>12610</v>
      </c>
      <c r="B19" t="s">
        <v>32</v>
      </c>
      <c r="C19" t="s">
        <v>35</v>
      </c>
      <c r="D19" s="1">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1">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1">
        <v>20000</v>
      </c>
      <c r="E21">
        <v>2</v>
      </c>
      <c r="F21" t="s">
        <v>29</v>
      </c>
      <c r="G21" t="s">
        <v>20</v>
      </c>
      <c r="H21" t="s">
        <v>15</v>
      </c>
      <c r="I21">
        <v>2</v>
      </c>
      <c r="J21" t="s">
        <v>23</v>
      </c>
      <c r="K21" t="s">
        <v>24</v>
      </c>
      <c r="L21">
        <v>55</v>
      </c>
      <c r="M21" t="str">
        <f t="shared" si="0"/>
        <v>Old</v>
      </c>
      <c r="N21" t="s">
        <v>15</v>
      </c>
    </row>
    <row r="22" spans="1:14" x14ac:dyDescent="0.3">
      <c r="A22">
        <v>25598</v>
      </c>
      <c r="B22" t="s">
        <v>32</v>
      </c>
      <c r="C22" t="s">
        <v>35</v>
      </c>
      <c r="D22" s="1">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1">
        <v>80000</v>
      </c>
      <c r="E23">
        <v>0</v>
      </c>
      <c r="F23" t="s">
        <v>13</v>
      </c>
      <c r="G23" t="s">
        <v>21</v>
      </c>
      <c r="H23" t="s">
        <v>15</v>
      </c>
      <c r="I23">
        <v>4</v>
      </c>
      <c r="J23" t="s">
        <v>42</v>
      </c>
      <c r="K23" t="s">
        <v>24</v>
      </c>
      <c r="L23">
        <v>35</v>
      </c>
      <c r="M23" t="str">
        <f t="shared" si="0"/>
        <v>Middle Age</v>
      </c>
      <c r="N23" t="s">
        <v>18</v>
      </c>
    </row>
    <row r="24" spans="1:14" x14ac:dyDescent="0.3">
      <c r="A24">
        <v>19193</v>
      </c>
      <c r="B24" t="s">
        <v>33</v>
      </c>
      <c r="C24" t="s">
        <v>34</v>
      </c>
      <c r="D24" s="1">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1">
        <v>80000</v>
      </c>
      <c r="E25">
        <v>5</v>
      </c>
      <c r="F25" t="s">
        <v>27</v>
      </c>
      <c r="G25" t="s">
        <v>28</v>
      </c>
      <c r="H25" t="s">
        <v>18</v>
      </c>
      <c r="I25">
        <v>3</v>
      </c>
      <c r="J25" t="s">
        <v>23</v>
      </c>
      <c r="K25" t="s">
        <v>17</v>
      </c>
      <c r="L25">
        <v>56</v>
      </c>
      <c r="M25" t="str">
        <f t="shared" si="0"/>
        <v>Old</v>
      </c>
      <c r="N25" t="s">
        <v>18</v>
      </c>
    </row>
    <row r="26" spans="1:14" x14ac:dyDescent="0.3">
      <c r="A26">
        <v>27184</v>
      </c>
      <c r="B26" t="s">
        <v>33</v>
      </c>
      <c r="C26" t="s">
        <v>34</v>
      </c>
      <c r="D26" s="1">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1">
        <v>30000</v>
      </c>
      <c r="E27">
        <v>1</v>
      </c>
      <c r="F27" t="s">
        <v>13</v>
      </c>
      <c r="G27" t="s">
        <v>20</v>
      </c>
      <c r="H27" t="s">
        <v>15</v>
      </c>
      <c r="I27">
        <v>0</v>
      </c>
      <c r="J27" t="s">
        <v>16</v>
      </c>
      <c r="K27" t="s">
        <v>17</v>
      </c>
      <c r="L27">
        <v>63</v>
      </c>
      <c r="M27" t="str">
        <f t="shared" si="0"/>
        <v>Old</v>
      </c>
      <c r="N27" t="s">
        <v>18</v>
      </c>
    </row>
    <row r="28" spans="1:14" x14ac:dyDescent="0.3">
      <c r="A28">
        <v>17841</v>
      </c>
      <c r="B28" t="s">
        <v>33</v>
      </c>
      <c r="C28" t="s">
        <v>34</v>
      </c>
      <c r="D28" s="1">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1">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1">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1">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1">
        <v>20000</v>
      </c>
      <c r="E32">
        <v>2</v>
      </c>
      <c r="F32" t="s">
        <v>19</v>
      </c>
      <c r="G32" t="s">
        <v>25</v>
      </c>
      <c r="H32" t="s">
        <v>15</v>
      </c>
      <c r="I32">
        <v>0</v>
      </c>
      <c r="J32" t="s">
        <v>16</v>
      </c>
      <c r="K32" t="s">
        <v>17</v>
      </c>
      <c r="L32">
        <v>63</v>
      </c>
      <c r="M32" t="str">
        <f t="shared" si="0"/>
        <v>Old</v>
      </c>
      <c r="N32" t="s">
        <v>18</v>
      </c>
    </row>
    <row r="33" spans="1:14" x14ac:dyDescent="0.3">
      <c r="A33">
        <v>22400</v>
      </c>
      <c r="B33" t="s">
        <v>32</v>
      </c>
      <c r="C33" t="s">
        <v>34</v>
      </c>
      <c r="D33" s="1">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1">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1">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1">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1">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1">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1">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1">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1">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1">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1">
        <v>40000</v>
      </c>
      <c r="E43">
        <v>2</v>
      </c>
      <c r="F43" t="s">
        <v>13</v>
      </c>
      <c r="G43" t="s">
        <v>28</v>
      </c>
      <c r="H43" t="s">
        <v>15</v>
      </c>
      <c r="I43">
        <v>2</v>
      </c>
      <c r="J43" t="s">
        <v>23</v>
      </c>
      <c r="K43" t="s">
        <v>24</v>
      </c>
      <c r="L43">
        <v>65</v>
      </c>
      <c r="M43" t="str">
        <f t="shared" si="0"/>
        <v>Old</v>
      </c>
      <c r="N43" t="s">
        <v>15</v>
      </c>
    </row>
    <row r="44" spans="1:14" x14ac:dyDescent="0.3">
      <c r="A44">
        <v>17703</v>
      </c>
      <c r="B44" t="s">
        <v>32</v>
      </c>
      <c r="C44" t="s">
        <v>35</v>
      </c>
      <c r="D44" s="1">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1">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1">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1">
        <v>20000</v>
      </c>
      <c r="E47">
        <v>1</v>
      </c>
      <c r="F47" t="s">
        <v>13</v>
      </c>
      <c r="G47" t="s">
        <v>20</v>
      </c>
      <c r="H47" t="s">
        <v>15</v>
      </c>
      <c r="I47">
        <v>0</v>
      </c>
      <c r="J47" t="s">
        <v>16</v>
      </c>
      <c r="K47" t="s">
        <v>17</v>
      </c>
      <c r="L47">
        <v>66</v>
      </c>
      <c r="M47" t="str">
        <f t="shared" si="0"/>
        <v>Old</v>
      </c>
      <c r="N47" t="s">
        <v>15</v>
      </c>
    </row>
    <row r="48" spans="1:14" x14ac:dyDescent="0.3">
      <c r="A48">
        <v>24466</v>
      </c>
      <c r="B48" t="s">
        <v>32</v>
      </c>
      <c r="C48" t="s">
        <v>35</v>
      </c>
      <c r="D48" s="1">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1">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1">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1">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1">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1">
        <v>80000</v>
      </c>
      <c r="E53">
        <v>0</v>
      </c>
      <c r="F53" t="s">
        <v>13</v>
      </c>
      <c r="G53" t="s">
        <v>21</v>
      </c>
      <c r="H53" t="s">
        <v>18</v>
      </c>
      <c r="I53">
        <v>4</v>
      </c>
      <c r="J53" t="s">
        <v>42</v>
      </c>
      <c r="K53" t="s">
        <v>24</v>
      </c>
      <c r="L53">
        <v>35</v>
      </c>
      <c r="M53" t="str">
        <f t="shared" si="0"/>
        <v>Middle Age</v>
      </c>
      <c r="N53" t="s">
        <v>18</v>
      </c>
    </row>
    <row r="54" spans="1:14" x14ac:dyDescent="0.3">
      <c r="A54">
        <v>12558</v>
      </c>
      <c r="B54" t="s">
        <v>32</v>
      </c>
      <c r="C54" t="s">
        <v>35</v>
      </c>
      <c r="D54" s="1">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1">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1">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1">
        <v>80000</v>
      </c>
      <c r="E57">
        <v>4</v>
      </c>
      <c r="F57" t="s">
        <v>27</v>
      </c>
      <c r="G57" t="s">
        <v>21</v>
      </c>
      <c r="H57" t="s">
        <v>15</v>
      </c>
      <c r="I57">
        <v>2</v>
      </c>
      <c r="J57" t="s">
        <v>42</v>
      </c>
      <c r="K57" t="s">
        <v>17</v>
      </c>
      <c r="L57">
        <v>54</v>
      </c>
      <c r="M57" t="str">
        <f t="shared" si="0"/>
        <v>Old</v>
      </c>
      <c r="N57" t="s">
        <v>18</v>
      </c>
    </row>
    <row r="58" spans="1:14" x14ac:dyDescent="0.3">
      <c r="A58">
        <v>12808</v>
      </c>
      <c r="B58" t="s">
        <v>32</v>
      </c>
      <c r="C58" t="s">
        <v>34</v>
      </c>
      <c r="D58" s="1">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1">
        <v>130000</v>
      </c>
      <c r="E59">
        <v>4</v>
      </c>
      <c r="F59" t="s">
        <v>19</v>
      </c>
      <c r="G59" t="s">
        <v>21</v>
      </c>
      <c r="H59" t="s">
        <v>18</v>
      </c>
      <c r="I59">
        <v>4</v>
      </c>
      <c r="J59" t="s">
        <v>23</v>
      </c>
      <c r="K59" t="s">
        <v>17</v>
      </c>
      <c r="L59">
        <v>61</v>
      </c>
      <c r="M59" t="str">
        <f t="shared" si="0"/>
        <v>Old</v>
      </c>
      <c r="N59" t="s">
        <v>15</v>
      </c>
    </row>
    <row r="60" spans="1:14" x14ac:dyDescent="0.3">
      <c r="A60">
        <v>25502</v>
      </c>
      <c r="B60" t="s">
        <v>32</v>
      </c>
      <c r="C60" t="s">
        <v>35</v>
      </c>
      <c r="D60" s="1">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1">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1">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1">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1">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1">
        <v>60000</v>
      </c>
      <c r="E65">
        <v>4</v>
      </c>
      <c r="F65" t="s">
        <v>13</v>
      </c>
      <c r="G65" t="s">
        <v>21</v>
      </c>
      <c r="H65" t="s">
        <v>15</v>
      </c>
      <c r="I65">
        <v>3</v>
      </c>
      <c r="J65" t="s">
        <v>42</v>
      </c>
      <c r="K65" t="s">
        <v>24</v>
      </c>
      <c r="L65">
        <v>41</v>
      </c>
      <c r="M65" t="str">
        <f t="shared" si="0"/>
        <v>Middle Age</v>
      </c>
      <c r="N65" t="s">
        <v>18</v>
      </c>
    </row>
    <row r="66" spans="1:14" x14ac:dyDescent="0.3">
      <c r="A66">
        <v>14927</v>
      </c>
      <c r="B66" t="s">
        <v>32</v>
      </c>
      <c r="C66" t="s">
        <v>35</v>
      </c>
      <c r="D66" s="1">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1">
        <v>30000</v>
      </c>
      <c r="E67">
        <v>2</v>
      </c>
      <c r="F67" t="s">
        <v>19</v>
      </c>
      <c r="G67" t="s">
        <v>20</v>
      </c>
      <c r="H67" t="s">
        <v>15</v>
      </c>
      <c r="I67">
        <v>2</v>
      </c>
      <c r="J67" t="s">
        <v>23</v>
      </c>
      <c r="K67" t="s">
        <v>24</v>
      </c>
      <c r="L67">
        <v>68</v>
      </c>
      <c r="M67" t="str">
        <f t="shared" si="0"/>
        <v>Old</v>
      </c>
      <c r="N67" t="s">
        <v>18</v>
      </c>
    </row>
    <row r="68" spans="1:14" x14ac:dyDescent="0.3">
      <c r="A68">
        <v>29355</v>
      </c>
      <c r="B68" t="s">
        <v>32</v>
      </c>
      <c r="C68" t="s">
        <v>35</v>
      </c>
      <c r="D68" s="1">
        <v>40000</v>
      </c>
      <c r="E68">
        <v>0</v>
      </c>
      <c r="F68" t="s">
        <v>30</v>
      </c>
      <c r="G68" t="s">
        <v>20</v>
      </c>
      <c r="H68" t="s">
        <v>15</v>
      </c>
      <c r="I68">
        <v>0</v>
      </c>
      <c r="J68" t="s">
        <v>16</v>
      </c>
      <c r="K68" t="s">
        <v>17</v>
      </c>
      <c r="L68">
        <v>37</v>
      </c>
      <c r="M68" t="str">
        <f t="shared" ref="M68:M131" si="1">IF(L68&gt;=54,"Old",IF(L68&gt;=31,"Middle Age",IF(L68&lt;31,"Adolescent","Invalid")))</f>
        <v>Middle Age</v>
      </c>
      <c r="N68" t="s">
        <v>15</v>
      </c>
    </row>
    <row r="69" spans="1:14" x14ac:dyDescent="0.3">
      <c r="A69">
        <v>25303</v>
      </c>
      <c r="B69" t="s">
        <v>33</v>
      </c>
      <c r="C69" t="s">
        <v>34</v>
      </c>
      <c r="D69" s="1">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1">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1">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1">
        <v>120000</v>
      </c>
      <c r="E72">
        <v>0</v>
      </c>
      <c r="F72" t="s">
        <v>29</v>
      </c>
      <c r="G72" t="s">
        <v>21</v>
      </c>
      <c r="H72" t="s">
        <v>15</v>
      </c>
      <c r="I72">
        <v>4</v>
      </c>
      <c r="J72" t="s">
        <v>42</v>
      </c>
      <c r="K72" t="s">
        <v>24</v>
      </c>
      <c r="L72">
        <v>36</v>
      </c>
      <c r="M72" t="str">
        <f t="shared" si="1"/>
        <v>Middle Age</v>
      </c>
      <c r="N72" t="s">
        <v>15</v>
      </c>
    </row>
    <row r="73" spans="1:14" x14ac:dyDescent="0.3">
      <c r="A73">
        <v>16200</v>
      </c>
      <c r="B73" t="s">
        <v>33</v>
      </c>
      <c r="C73" t="s">
        <v>35</v>
      </c>
      <c r="D73" s="1">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1">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1">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1">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1">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1">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1">
        <v>80000</v>
      </c>
      <c r="E79">
        <v>0</v>
      </c>
      <c r="F79" t="s">
        <v>13</v>
      </c>
      <c r="G79" t="s">
        <v>21</v>
      </c>
      <c r="H79" t="s">
        <v>15</v>
      </c>
      <c r="I79">
        <v>2</v>
      </c>
      <c r="J79" t="s">
        <v>42</v>
      </c>
      <c r="K79" t="s">
        <v>24</v>
      </c>
      <c r="L79">
        <v>29</v>
      </c>
      <c r="M79" t="str">
        <f t="shared" si="1"/>
        <v>Adolescent</v>
      </c>
      <c r="N79" t="s">
        <v>15</v>
      </c>
    </row>
    <row r="80" spans="1:14" x14ac:dyDescent="0.3">
      <c r="A80">
        <v>15752</v>
      </c>
      <c r="B80" t="s">
        <v>32</v>
      </c>
      <c r="C80" t="s">
        <v>34</v>
      </c>
      <c r="D80" s="1">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1">
        <v>40000</v>
      </c>
      <c r="E81">
        <v>2</v>
      </c>
      <c r="F81" t="s">
        <v>13</v>
      </c>
      <c r="G81" t="s">
        <v>28</v>
      </c>
      <c r="H81" t="s">
        <v>15</v>
      </c>
      <c r="I81">
        <v>2</v>
      </c>
      <c r="J81" t="s">
        <v>23</v>
      </c>
      <c r="K81" t="s">
        <v>24</v>
      </c>
      <c r="L81">
        <v>63</v>
      </c>
      <c r="M81" t="str">
        <f t="shared" si="1"/>
        <v>Old</v>
      </c>
      <c r="N81" t="s">
        <v>15</v>
      </c>
    </row>
    <row r="82" spans="1:14" x14ac:dyDescent="0.3">
      <c r="A82">
        <v>20828</v>
      </c>
      <c r="B82" t="s">
        <v>32</v>
      </c>
      <c r="C82" t="s">
        <v>35</v>
      </c>
      <c r="D82" s="1">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1">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1">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1">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1">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1">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1">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1">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1">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1">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1">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1">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1">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1">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1">
        <v>30000</v>
      </c>
      <c r="E96">
        <v>3</v>
      </c>
      <c r="F96" t="s">
        <v>27</v>
      </c>
      <c r="G96" t="s">
        <v>14</v>
      </c>
      <c r="H96" t="s">
        <v>15</v>
      </c>
      <c r="I96">
        <v>2</v>
      </c>
      <c r="J96" t="s">
        <v>23</v>
      </c>
      <c r="K96" t="s">
        <v>24</v>
      </c>
      <c r="L96">
        <v>55</v>
      </c>
      <c r="M96" t="str">
        <f t="shared" si="1"/>
        <v>Old</v>
      </c>
      <c r="N96" t="s">
        <v>18</v>
      </c>
    </row>
    <row r="97" spans="1:14" x14ac:dyDescent="0.3">
      <c r="A97">
        <v>17197</v>
      </c>
      <c r="B97" t="s">
        <v>33</v>
      </c>
      <c r="C97" t="s">
        <v>35</v>
      </c>
      <c r="D97" s="1">
        <v>90000</v>
      </c>
      <c r="E97">
        <v>5</v>
      </c>
      <c r="F97" t="s">
        <v>19</v>
      </c>
      <c r="G97" t="s">
        <v>21</v>
      </c>
      <c r="H97" t="s">
        <v>15</v>
      </c>
      <c r="I97">
        <v>2</v>
      </c>
      <c r="J97" t="s">
        <v>42</v>
      </c>
      <c r="K97" t="s">
        <v>17</v>
      </c>
      <c r="L97">
        <v>62</v>
      </c>
      <c r="M97" t="str">
        <f t="shared" si="1"/>
        <v>Old</v>
      </c>
      <c r="N97" t="s">
        <v>18</v>
      </c>
    </row>
    <row r="98" spans="1:14" x14ac:dyDescent="0.3">
      <c r="A98">
        <v>12507</v>
      </c>
      <c r="B98" t="s">
        <v>32</v>
      </c>
      <c r="C98" t="s">
        <v>34</v>
      </c>
      <c r="D98" s="1">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1">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1">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1">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1">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34</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1">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35</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1">
        <v>10000</v>
      </c>
      <c r="E131">
        <v>3</v>
      </c>
      <c r="F131" t="s">
        <v>27</v>
      </c>
      <c r="G131" t="s">
        <v>25</v>
      </c>
      <c r="H131" t="s">
        <v>15</v>
      </c>
      <c r="I131">
        <v>1</v>
      </c>
      <c r="J131" t="s">
        <v>16</v>
      </c>
      <c r="K131" t="s">
        <v>17</v>
      </c>
      <c r="L131">
        <v>39</v>
      </c>
      <c r="M131" t="str">
        <f t="shared" si="1"/>
        <v>Middle Age</v>
      </c>
      <c r="N131" t="s">
        <v>15</v>
      </c>
    </row>
    <row r="132" spans="1:14" x14ac:dyDescent="0.3">
      <c r="A132">
        <v>12993</v>
      </c>
      <c r="B132" t="s">
        <v>32</v>
      </c>
      <c r="C132" t="s">
        <v>34</v>
      </c>
      <c r="D132" s="1">
        <v>60000</v>
      </c>
      <c r="E132">
        <v>2</v>
      </c>
      <c r="F132" t="s">
        <v>13</v>
      </c>
      <c r="G132" t="s">
        <v>21</v>
      </c>
      <c r="H132" t="s">
        <v>15</v>
      </c>
      <c r="I132">
        <v>1</v>
      </c>
      <c r="J132" t="s">
        <v>22</v>
      </c>
      <c r="K132" t="s">
        <v>24</v>
      </c>
      <c r="L132">
        <v>37</v>
      </c>
      <c r="M132" t="str">
        <f t="shared" ref="M132:M195" si="2">IF(L132&gt;=54,"Old",IF(L132&gt;=31,"Middle Age",IF(L132&lt;31,"Adolescent","Invalid")))</f>
        <v>Middle Age</v>
      </c>
      <c r="N132" t="s">
        <v>18</v>
      </c>
    </row>
    <row r="133" spans="1:14" x14ac:dyDescent="0.3">
      <c r="A133">
        <v>14192</v>
      </c>
      <c r="B133" t="s">
        <v>32</v>
      </c>
      <c r="C133" t="s">
        <v>34</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34</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35</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34</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1">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34</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1">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34</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1">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34</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32</v>
      </c>
      <c r="C161" t="s">
        <v>35</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1">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34</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35</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34</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1">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1">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35</v>
      </c>
      <c r="D181" s="1">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1">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35</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35</v>
      </c>
      <c r="D186" s="1">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35</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34</v>
      </c>
      <c r="D189" s="1">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35</v>
      </c>
      <c r="D190" s="1">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34</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34</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1">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35</v>
      </c>
      <c r="D195" s="1">
        <v>70000</v>
      </c>
      <c r="E195">
        <v>5</v>
      </c>
      <c r="F195" t="s">
        <v>13</v>
      </c>
      <c r="G195" t="s">
        <v>21</v>
      </c>
      <c r="H195" t="s">
        <v>15</v>
      </c>
      <c r="I195">
        <v>4</v>
      </c>
      <c r="J195" t="s">
        <v>42</v>
      </c>
      <c r="K195" t="s">
        <v>24</v>
      </c>
      <c r="L195">
        <v>41</v>
      </c>
      <c r="M195" t="str">
        <f t="shared" si="2"/>
        <v>Middle Age</v>
      </c>
      <c r="N195" t="s">
        <v>18</v>
      </c>
    </row>
    <row r="196" spans="1:14" x14ac:dyDescent="0.3">
      <c r="A196">
        <v>17843</v>
      </c>
      <c r="B196" t="s">
        <v>33</v>
      </c>
      <c r="C196" t="s">
        <v>35</v>
      </c>
      <c r="D196" s="1">
        <v>10000</v>
      </c>
      <c r="E196">
        <v>0</v>
      </c>
      <c r="F196" t="s">
        <v>29</v>
      </c>
      <c r="G196" t="s">
        <v>25</v>
      </c>
      <c r="H196" t="s">
        <v>18</v>
      </c>
      <c r="I196">
        <v>2</v>
      </c>
      <c r="J196" t="s">
        <v>16</v>
      </c>
      <c r="K196" t="s">
        <v>17</v>
      </c>
      <c r="L196">
        <v>32</v>
      </c>
      <c r="M196" t="str">
        <f t="shared" ref="M196:M259" si="3">IF(L196&gt;=54,"Old",IF(L196&gt;=31,"Middle Age",IF(L196&lt;31,"Adolescent","Invalid")))</f>
        <v>Middle Age</v>
      </c>
      <c r="N196" t="s">
        <v>18</v>
      </c>
    </row>
    <row r="197" spans="1:14" x14ac:dyDescent="0.3">
      <c r="A197">
        <v>25559</v>
      </c>
      <c r="B197" t="s">
        <v>33</v>
      </c>
      <c r="C197" t="s">
        <v>34</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1">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1">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1">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34</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1">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1">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35</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1">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1">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1">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1">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34</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34</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32</v>
      </c>
      <c r="C218" t="s">
        <v>34</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33</v>
      </c>
      <c r="C219" t="s">
        <v>35</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1">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35</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34</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1">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1">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34</v>
      </c>
      <c r="D232" s="1">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35</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1">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1">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35</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1">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1">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1">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34</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1">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35</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34</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34</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34</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1">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34</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1">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1">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1">
        <v>50000</v>
      </c>
      <c r="E259">
        <v>0</v>
      </c>
      <c r="F259" t="s">
        <v>30</v>
      </c>
      <c r="G259" t="s">
        <v>14</v>
      </c>
      <c r="H259" t="s">
        <v>15</v>
      </c>
      <c r="I259">
        <v>0</v>
      </c>
      <c r="J259" t="s">
        <v>16</v>
      </c>
      <c r="K259" t="s">
        <v>17</v>
      </c>
      <c r="L259">
        <v>36</v>
      </c>
      <c r="M259" t="str">
        <f t="shared" si="3"/>
        <v>Middle Age</v>
      </c>
      <c r="N259" t="s">
        <v>15</v>
      </c>
    </row>
    <row r="260" spans="1:14" x14ac:dyDescent="0.3">
      <c r="A260">
        <v>14193</v>
      </c>
      <c r="B260" t="s">
        <v>33</v>
      </c>
      <c r="C260" t="s">
        <v>35</v>
      </c>
      <c r="D260" s="1">
        <v>100000</v>
      </c>
      <c r="E260">
        <v>3</v>
      </c>
      <c r="F260" t="s">
        <v>19</v>
      </c>
      <c r="G260" t="s">
        <v>28</v>
      </c>
      <c r="H260" t="s">
        <v>15</v>
      </c>
      <c r="I260">
        <v>4</v>
      </c>
      <c r="J260" t="s">
        <v>42</v>
      </c>
      <c r="K260" t="s">
        <v>17</v>
      </c>
      <c r="L260">
        <v>56</v>
      </c>
      <c r="M260" t="str">
        <f t="shared" ref="M260:M323" si="4">IF(L260&gt;=54,"Old",IF(L260&gt;=31,"Middle Age",IF(L260&lt;31,"Adolescent","Invalid")))</f>
        <v>Old</v>
      </c>
      <c r="N260" t="s">
        <v>18</v>
      </c>
    </row>
    <row r="261" spans="1:14" x14ac:dyDescent="0.3">
      <c r="A261">
        <v>12705</v>
      </c>
      <c r="B261" t="s">
        <v>32</v>
      </c>
      <c r="C261" t="s">
        <v>34</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1">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34</v>
      </c>
      <c r="D266" s="1">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1">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1">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1">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34</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1">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1">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33</v>
      </c>
      <c r="C292" t="s">
        <v>35</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1">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35</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1">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32</v>
      </c>
      <c r="C301" t="s">
        <v>35</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35</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1">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34</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34</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34</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34</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1">
        <v>130000</v>
      </c>
      <c r="E320">
        <v>4</v>
      </c>
      <c r="F320" t="s">
        <v>19</v>
      </c>
      <c r="G320" t="s">
        <v>21</v>
      </c>
      <c r="H320" t="s">
        <v>18</v>
      </c>
      <c r="I320">
        <v>3</v>
      </c>
      <c r="J320" t="s">
        <v>42</v>
      </c>
      <c r="K320" t="s">
        <v>17</v>
      </c>
      <c r="L320">
        <v>54</v>
      </c>
      <c r="M320" t="str">
        <f t="shared" si="4"/>
        <v>Old</v>
      </c>
      <c r="N320" t="s">
        <v>18</v>
      </c>
    </row>
    <row r="321" spans="1:14" x14ac:dyDescent="0.3">
      <c r="A321">
        <v>11386</v>
      </c>
      <c r="B321" t="s">
        <v>32</v>
      </c>
      <c r="C321" t="s">
        <v>35</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1">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1">
        <v>160000</v>
      </c>
      <c r="E323">
        <v>0</v>
      </c>
      <c r="F323" t="s">
        <v>30</v>
      </c>
      <c r="G323" t="s">
        <v>28</v>
      </c>
      <c r="H323" t="s">
        <v>18</v>
      </c>
      <c r="I323">
        <v>3</v>
      </c>
      <c r="J323" t="s">
        <v>16</v>
      </c>
      <c r="K323" t="s">
        <v>24</v>
      </c>
      <c r="L323">
        <v>47</v>
      </c>
      <c r="M323" t="str">
        <f t="shared" si="4"/>
        <v>Middle Age</v>
      </c>
      <c r="N323" t="s">
        <v>15</v>
      </c>
    </row>
    <row r="324" spans="1:14" x14ac:dyDescent="0.3">
      <c r="A324">
        <v>16410</v>
      </c>
      <c r="B324" t="s">
        <v>33</v>
      </c>
      <c r="C324" t="s">
        <v>35</v>
      </c>
      <c r="D324" s="1">
        <v>10000</v>
      </c>
      <c r="E324">
        <v>4</v>
      </c>
      <c r="F324" t="s">
        <v>29</v>
      </c>
      <c r="G324" t="s">
        <v>25</v>
      </c>
      <c r="H324" t="s">
        <v>15</v>
      </c>
      <c r="I324">
        <v>2</v>
      </c>
      <c r="J324" t="s">
        <v>16</v>
      </c>
      <c r="K324" t="s">
        <v>17</v>
      </c>
      <c r="L324">
        <v>41</v>
      </c>
      <c r="M324" t="str">
        <f t="shared" ref="M324:M387" si="5">IF(L324&gt;=54,"Old",IF(L324&gt;=31,"Middle Age",IF(L324&lt;31,"Adolescent","Invalid")))</f>
        <v>Middle Age</v>
      </c>
      <c r="N324" t="s">
        <v>15</v>
      </c>
    </row>
    <row r="325" spans="1:14" x14ac:dyDescent="0.3">
      <c r="A325">
        <v>27760</v>
      </c>
      <c r="B325" t="s">
        <v>33</v>
      </c>
      <c r="C325" t="s">
        <v>35</v>
      </c>
      <c r="D325" s="1">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1">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35</v>
      </c>
      <c r="D332" s="1">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34</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1">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34</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1">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1">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35</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34</v>
      </c>
      <c r="D361" s="1">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34</v>
      </c>
      <c r="D362" s="1">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1">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34</v>
      </c>
      <c r="D373" s="1">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34</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34</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34</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1">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35</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34</v>
      </c>
      <c r="D384" s="1">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34</v>
      </c>
      <c r="D385" s="1">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1">
        <v>30000</v>
      </c>
      <c r="E387">
        <v>3</v>
      </c>
      <c r="F387" t="s">
        <v>19</v>
      </c>
      <c r="G387" t="s">
        <v>20</v>
      </c>
      <c r="H387" t="s">
        <v>15</v>
      </c>
      <c r="I387">
        <v>0</v>
      </c>
      <c r="J387" t="s">
        <v>16</v>
      </c>
      <c r="K387" t="s">
        <v>17</v>
      </c>
      <c r="L387">
        <v>43</v>
      </c>
      <c r="M387" t="str">
        <f t="shared" si="5"/>
        <v>Middle Age</v>
      </c>
      <c r="N387" t="s">
        <v>18</v>
      </c>
    </row>
    <row r="388" spans="1:14" x14ac:dyDescent="0.3">
      <c r="A388">
        <v>28957</v>
      </c>
      <c r="B388" t="s">
        <v>33</v>
      </c>
      <c r="C388" t="s">
        <v>35</v>
      </c>
      <c r="D388" s="1">
        <v>120000</v>
      </c>
      <c r="E388">
        <v>0</v>
      </c>
      <c r="F388" t="s">
        <v>29</v>
      </c>
      <c r="G388" t="s">
        <v>21</v>
      </c>
      <c r="H388" t="s">
        <v>15</v>
      </c>
      <c r="I388">
        <v>4</v>
      </c>
      <c r="J388" t="s">
        <v>42</v>
      </c>
      <c r="K388" t="s">
        <v>24</v>
      </c>
      <c r="L388">
        <v>34</v>
      </c>
      <c r="M388" t="str">
        <f t="shared" ref="M388:M451" si="6">IF(L388&gt;=54,"Old",IF(L388&gt;=31,"Middle Age",IF(L388&lt;31,"Adolescent","Invalid")))</f>
        <v>Middle Age</v>
      </c>
      <c r="N388" t="s">
        <v>15</v>
      </c>
    </row>
    <row r="389" spans="1:14" x14ac:dyDescent="0.3">
      <c r="A389">
        <v>13690</v>
      </c>
      <c r="B389" t="s">
        <v>33</v>
      </c>
      <c r="C389" t="s">
        <v>35</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35</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34</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1">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35</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34</v>
      </c>
      <c r="D404" s="1">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1">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32</v>
      </c>
      <c r="C407" t="s">
        <v>35</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35</v>
      </c>
      <c r="D416" s="1">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1">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34</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1">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34</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1">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34</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34</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1">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34</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1">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35</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35</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1">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1">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34</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1">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1">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35</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1">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1">
        <v>40000</v>
      </c>
      <c r="E451">
        <v>1</v>
      </c>
      <c r="F451" t="s">
        <v>13</v>
      </c>
      <c r="G451" t="s">
        <v>14</v>
      </c>
      <c r="H451" t="s">
        <v>15</v>
      </c>
      <c r="I451">
        <v>0</v>
      </c>
      <c r="J451" t="s">
        <v>16</v>
      </c>
      <c r="K451" t="s">
        <v>17</v>
      </c>
      <c r="L451">
        <v>42</v>
      </c>
      <c r="M451" t="str">
        <f t="shared" si="6"/>
        <v>Middle Age</v>
      </c>
      <c r="N451" t="s">
        <v>18</v>
      </c>
    </row>
    <row r="452" spans="1:14" x14ac:dyDescent="0.3">
      <c r="A452">
        <v>16559</v>
      </c>
      <c r="B452" t="s">
        <v>33</v>
      </c>
      <c r="C452" t="s">
        <v>35</v>
      </c>
      <c r="D452" s="1">
        <v>10000</v>
      </c>
      <c r="E452">
        <v>2</v>
      </c>
      <c r="F452" t="s">
        <v>27</v>
      </c>
      <c r="G452" t="s">
        <v>25</v>
      </c>
      <c r="H452" t="s">
        <v>15</v>
      </c>
      <c r="I452">
        <v>0</v>
      </c>
      <c r="J452" t="s">
        <v>16</v>
      </c>
      <c r="K452" t="s">
        <v>17</v>
      </c>
      <c r="L452">
        <v>36</v>
      </c>
      <c r="M452" t="str">
        <f t="shared" ref="M452:M515" si="7">IF(L452&gt;=54,"Old",IF(L452&gt;=31,"Middle Age",IF(L452&lt;31,"Adolescent","Invalid")))</f>
        <v>Middle Age</v>
      </c>
      <c r="N452" t="s">
        <v>15</v>
      </c>
    </row>
    <row r="453" spans="1:14" x14ac:dyDescent="0.3">
      <c r="A453">
        <v>11585</v>
      </c>
      <c r="B453" t="s">
        <v>32</v>
      </c>
      <c r="C453" t="s">
        <v>35</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34</v>
      </c>
      <c r="D460" s="1">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35</v>
      </c>
      <c r="D461" s="1">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34</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1">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34</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1">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1">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1">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34</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1">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1">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1">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1">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34</v>
      </c>
      <c r="D496" s="1">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1">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35</v>
      </c>
      <c r="D498" s="1">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1">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1">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1">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1">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1">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1">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1">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1">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1">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1">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1">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1">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1">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1">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35</v>
      </c>
      <c r="D514" s="1">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1">
        <v>60000</v>
      </c>
      <c r="E515">
        <v>4</v>
      </c>
      <c r="F515" t="s">
        <v>30</v>
      </c>
      <c r="G515" t="s">
        <v>28</v>
      </c>
      <c r="H515" t="s">
        <v>15</v>
      </c>
      <c r="I515">
        <v>2</v>
      </c>
      <c r="J515" t="s">
        <v>42</v>
      </c>
      <c r="K515" t="s">
        <v>31</v>
      </c>
      <c r="L515">
        <v>61</v>
      </c>
      <c r="M515" t="str">
        <f t="shared" si="7"/>
        <v>Old</v>
      </c>
      <c r="N515" t="s">
        <v>15</v>
      </c>
    </row>
    <row r="516" spans="1:14" x14ac:dyDescent="0.3">
      <c r="A516">
        <v>19399</v>
      </c>
      <c r="B516" t="s">
        <v>33</v>
      </c>
      <c r="C516" t="s">
        <v>34</v>
      </c>
      <c r="D516" s="1">
        <v>40000</v>
      </c>
      <c r="E516">
        <v>0</v>
      </c>
      <c r="F516" t="s">
        <v>13</v>
      </c>
      <c r="G516" t="s">
        <v>21</v>
      </c>
      <c r="H516" t="s">
        <v>18</v>
      </c>
      <c r="I516">
        <v>1</v>
      </c>
      <c r="J516" t="s">
        <v>22</v>
      </c>
      <c r="K516" t="s">
        <v>31</v>
      </c>
      <c r="L516">
        <v>45</v>
      </c>
      <c r="M516" t="str">
        <f t="shared" ref="M516:M579" si="8">IF(L516&gt;=54,"Old",IF(L516&gt;=31,"Middle Age",IF(L516&lt;31,"Adolescent","Invalid")))</f>
        <v>Middle Age</v>
      </c>
      <c r="N516" t="s">
        <v>18</v>
      </c>
    </row>
    <row r="517" spans="1:14" x14ac:dyDescent="0.3">
      <c r="A517">
        <v>16154</v>
      </c>
      <c r="B517" t="s">
        <v>32</v>
      </c>
      <c r="C517" t="s">
        <v>35</v>
      </c>
      <c r="D517" s="1">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1">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1">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1">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34</v>
      </c>
      <c r="D522" s="1">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1">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34</v>
      </c>
      <c r="D524" s="1">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1">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34</v>
      </c>
      <c r="D527" s="1">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35</v>
      </c>
      <c r="D528" s="1">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1">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1">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1">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34</v>
      </c>
      <c r="D532" s="1">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1">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1">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1">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34</v>
      </c>
      <c r="D536" s="1">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34</v>
      </c>
      <c r="D537" s="1">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35</v>
      </c>
      <c r="D538" s="1">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1">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1">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1">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1">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1">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1">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1">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1">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1">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1">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1">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35</v>
      </c>
      <c r="D550" s="1">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1">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1">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34</v>
      </c>
      <c r="D554" s="1">
        <v>60000</v>
      </c>
      <c r="E554">
        <v>3</v>
      </c>
      <c r="F554" t="s">
        <v>27</v>
      </c>
      <c r="G554" t="s">
        <v>21</v>
      </c>
      <c r="H554" t="s">
        <v>15</v>
      </c>
      <c r="I554">
        <v>2</v>
      </c>
      <c r="J554" t="s">
        <v>42</v>
      </c>
      <c r="K554" t="s">
        <v>31</v>
      </c>
      <c r="L554">
        <v>54</v>
      </c>
      <c r="M554" t="str">
        <f t="shared" si="8"/>
        <v>Old</v>
      </c>
      <c r="N554" t="s">
        <v>15</v>
      </c>
    </row>
    <row r="555" spans="1:14" x14ac:dyDescent="0.3">
      <c r="A555">
        <v>17533</v>
      </c>
      <c r="B555" t="s">
        <v>32</v>
      </c>
      <c r="C555" t="s">
        <v>34</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35</v>
      </c>
      <c r="D556" s="1">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1">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1">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1">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1">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1">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35</v>
      </c>
      <c r="D562" s="1">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1">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1">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1">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1">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1">
        <v>40000</v>
      </c>
      <c r="E567">
        <v>3</v>
      </c>
      <c r="F567" t="s">
        <v>19</v>
      </c>
      <c r="G567" t="s">
        <v>21</v>
      </c>
      <c r="H567" t="s">
        <v>18</v>
      </c>
      <c r="I567">
        <v>2</v>
      </c>
      <c r="J567" t="s">
        <v>23</v>
      </c>
      <c r="K567" t="s">
        <v>31</v>
      </c>
      <c r="L567">
        <v>54</v>
      </c>
      <c r="M567" t="str">
        <f t="shared" si="8"/>
        <v>Old</v>
      </c>
      <c r="N567" t="s">
        <v>15</v>
      </c>
    </row>
    <row r="568" spans="1:14" x14ac:dyDescent="0.3">
      <c r="A568">
        <v>18847</v>
      </c>
      <c r="B568" t="s">
        <v>32</v>
      </c>
      <c r="C568" t="s">
        <v>35</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34</v>
      </c>
      <c r="D569" s="1">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1">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1">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34</v>
      </c>
      <c r="D572" s="1">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1">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34</v>
      </c>
      <c r="D574" s="1">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1">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1">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35</v>
      </c>
      <c r="D578" s="1">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1">
        <v>120000</v>
      </c>
      <c r="E579">
        <v>1</v>
      </c>
      <c r="F579" t="s">
        <v>13</v>
      </c>
      <c r="G579" t="s">
        <v>28</v>
      </c>
      <c r="H579" t="s">
        <v>15</v>
      </c>
      <c r="I579">
        <v>4</v>
      </c>
      <c r="J579" t="s">
        <v>16</v>
      </c>
      <c r="K579" t="s">
        <v>31</v>
      </c>
      <c r="L579">
        <v>38</v>
      </c>
      <c r="M579" t="str">
        <f t="shared" si="8"/>
        <v>Middle Age</v>
      </c>
      <c r="N579" t="s">
        <v>18</v>
      </c>
    </row>
    <row r="580" spans="1:14" x14ac:dyDescent="0.3">
      <c r="A580">
        <v>15313</v>
      </c>
      <c r="B580" t="s">
        <v>32</v>
      </c>
      <c r="C580" t="s">
        <v>34</v>
      </c>
      <c r="D580" s="1">
        <v>60000</v>
      </c>
      <c r="E580">
        <v>4</v>
      </c>
      <c r="F580" t="s">
        <v>13</v>
      </c>
      <c r="G580" t="s">
        <v>28</v>
      </c>
      <c r="H580" t="s">
        <v>15</v>
      </c>
      <c r="I580">
        <v>2</v>
      </c>
      <c r="J580" t="s">
        <v>22</v>
      </c>
      <c r="K580" t="s">
        <v>31</v>
      </c>
      <c r="L580">
        <v>59</v>
      </c>
      <c r="M580" t="str">
        <f t="shared" ref="M580:M643" si="9">IF(L580&gt;=54,"Old",IF(L580&gt;=31,"Middle Age",IF(L580&lt;31,"Adolescent","Invalid")))</f>
        <v>Old</v>
      </c>
      <c r="N580" t="s">
        <v>18</v>
      </c>
    </row>
    <row r="581" spans="1:14" x14ac:dyDescent="0.3">
      <c r="A581">
        <v>25329</v>
      </c>
      <c r="B581" t="s">
        <v>33</v>
      </c>
      <c r="C581" t="s">
        <v>35</v>
      </c>
      <c r="D581" s="1">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1">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34</v>
      </c>
      <c r="D583" s="1">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1">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1">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34</v>
      </c>
      <c r="D586" s="1">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1">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1">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1">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1">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34</v>
      </c>
      <c r="D591" s="1">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35</v>
      </c>
      <c r="D592" s="1">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1">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35</v>
      </c>
      <c r="D594" s="1">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1">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35</v>
      </c>
      <c r="D598" s="1">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34</v>
      </c>
      <c r="D600" s="1">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34</v>
      </c>
      <c r="D602" s="1">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1">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1">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1">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1">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1">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1">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1">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34</v>
      </c>
      <c r="D610" s="1">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1">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1">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1">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1">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1">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1">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1">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1">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1">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1">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1">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1">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34</v>
      </c>
      <c r="D624" s="1">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1">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35</v>
      </c>
      <c r="D626" s="1">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35</v>
      </c>
      <c r="D628" s="1">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34</v>
      </c>
      <c r="D630" s="1">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1">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1">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1">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1">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1">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1">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1">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1">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34</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35</v>
      </c>
      <c r="D642" s="1">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34</v>
      </c>
      <c r="D643" s="1">
        <v>50000</v>
      </c>
      <c r="E643">
        <v>4</v>
      </c>
      <c r="F643" t="s">
        <v>13</v>
      </c>
      <c r="G643" t="s">
        <v>28</v>
      </c>
      <c r="H643" t="s">
        <v>15</v>
      </c>
      <c r="I643">
        <v>2</v>
      </c>
      <c r="J643" t="s">
        <v>42</v>
      </c>
      <c r="K643" t="s">
        <v>31</v>
      </c>
      <c r="L643">
        <v>64</v>
      </c>
      <c r="M643" t="str">
        <f t="shared" si="9"/>
        <v>Old</v>
      </c>
      <c r="N643" t="s">
        <v>18</v>
      </c>
    </row>
    <row r="644" spans="1:14" x14ac:dyDescent="0.3">
      <c r="A644">
        <v>21741</v>
      </c>
      <c r="B644" t="s">
        <v>32</v>
      </c>
      <c r="C644" t="s">
        <v>35</v>
      </c>
      <c r="D644" s="1">
        <v>70000</v>
      </c>
      <c r="E644">
        <v>3</v>
      </c>
      <c r="F644" t="s">
        <v>19</v>
      </c>
      <c r="G644" t="s">
        <v>21</v>
      </c>
      <c r="H644" t="s">
        <v>15</v>
      </c>
      <c r="I644">
        <v>2</v>
      </c>
      <c r="J644" t="s">
        <v>23</v>
      </c>
      <c r="K644" t="s">
        <v>31</v>
      </c>
      <c r="L644">
        <v>50</v>
      </c>
      <c r="M644" t="str">
        <f t="shared" ref="M644:M707" si="10">IF(L644&gt;=54,"Old",IF(L644&gt;=31,"Middle Age",IF(L644&lt;31,"Adolescent","Invalid")))</f>
        <v>Middle Age</v>
      </c>
      <c r="N644" t="s">
        <v>15</v>
      </c>
    </row>
    <row r="645" spans="1:14" x14ac:dyDescent="0.3">
      <c r="A645">
        <v>14572</v>
      </c>
      <c r="B645" t="s">
        <v>32</v>
      </c>
      <c r="C645" t="s">
        <v>35</v>
      </c>
      <c r="D645" s="1">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1">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35</v>
      </c>
      <c r="D647" s="1">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1">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1">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1">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1">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34</v>
      </c>
      <c r="D653" s="1">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1">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1">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1">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1">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1">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1">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1">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1">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35</v>
      </c>
      <c r="D662" s="1">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1">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1">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1">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1">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1">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1">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1">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35</v>
      </c>
      <c r="D670" s="1">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1">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1">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35</v>
      </c>
      <c r="D673" s="1">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1">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1">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1">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1">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1">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1">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34</v>
      </c>
      <c r="D681" s="1">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35</v>
      </c>
      <c r="D682" s="1">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1">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1">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1">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1">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1">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1">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1">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1">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1">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1">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1">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1">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1">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1">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1">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1">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1">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1">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1">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34</v>
      </c>
      <c r="D703" s="1">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1">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1">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1">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1">
        <v>70000</v>
      </c>
      <c r="E707">
        <v>4</v>
      </c>
      <c r="F707" t="s">
        <v>13</v>
      </c>
      <c r="G707" t="s">
        <v>28</v>
      </c>
      <c r="H707" t="s">
        <v>15</v>
      </c>
      <c r="I707">
        <v>1</v>
      </c>
      <c r="J707" t="s">
        <v>42</v>
      </c>
      <c r="K707" t="s">
        <v>31</v>
      </c>
      <c r="L707">
        <v>59</v>
      </c>
      <c r="M707" t="str">
        <f t="shared" si="10"/>
        <v>Old</v>
      </c>
      <c r="N707" t="s">
        <v>18</v>
      </c>
    </row>
    <row r="708" spans="1:14" x14ac:dyDescent="0.3">
      <c r="A708">
        <v>20296</v>
      </c>
      <c r="B708" t="s">
        <v>33</v>
      </c>
      <c r="C708" t="s">
        <v>35</v>
      </c>
      <c r="D708" s="1">
        <v>60000</v>
      </c>
      <c r="E708">
        <v>0</v>
      </c>
      <c r="F708" t="s">
        <v>19</v>
      </c>
      <c r="G708" t="s">
        <v>14</v>
      </c>
      <c r="H708" t="s">
        <v>18</v>
      </c>
      <c r="I708">
        <v>1</v>
      </c>
      <c r="J708" t="s">
        <v>26</v>
      </c>
      <c r="K708" t="s">
        <v>31</v>
      </c>
      <c r="L708">
        <v>33</v>
      </c>
      <c r="M708" t="str">
        <f t="shared" ref="M708:M771" si="11">IF(L708&gt;=54,"Old",IF(L708&gt;=31,"Middle Age",IF(L708&lt;31,"Adolescent","Invalid")))</f>
        <v>Middle Age</v>
      </c>
      <c r="N708" t="s">
        <v>15</v>
      </c>
    </row>
    <row r="709" spans="1:14" x14ac:dyDescent="0.3">
      <c r="A709">
        <v>17546</v>
      </c>
      <c r="B709" t="s">
        <v>32</v>
      </c>
      <c r="C709" t="s">
        <v>35</v>
      </c>
      <c r="D709" s="1">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1">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35</v>
      </c>
      <c r="D711" s="1">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34</v>
      </c>
      <c r="D712" s="1">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1">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35</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1">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1">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1">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1">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1">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1">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1">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34</v>
      </c>
      <c r="D723" s="1">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1">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1">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1">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1">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1">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1">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1">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1">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1">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1">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1">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1">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1">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1">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1">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1">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1">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1">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34</v>
      </c>
      <c r="D742" s="1">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1">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1">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1">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1">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34</v>
      </c>
      <c r="D747" s="1">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1">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35</v>
      </c>
      <c r="D749" s="1">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35</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34</v>
      </c>
      <c r="D752" s="1">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1">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1">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1">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34</v>
      </c>
      <c r="D757" s="1">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1">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1">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1">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1">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1">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1">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34</v>
      </c>
      <c r="D764" s="1">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1">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1">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1">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1">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35</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35</v>
      </c>
      <c r="D770" s="1">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1">
        <v>100000</v>
      </c>
      <c r="E771">
        <v>4</v>
      </c>
      <c r="F771" t="s">
        <v>13</v>
      </c>
      <c r="G771" t="s">
        <v>28</v>
      </c>
      <c r="H771" t="s">
        <v>15</v>
      </c>
      <c r="I771">
        <v>4</v>
      </c>
      <c r="J771" t="s">
        <v>16</v>
      </c>
      <c r="K771" t="s">
        <v>31</v>
      </c>
      <c r="L771">
        <v>40</v>
      </c>
      <c r="M771" t="str">
        <f t="shared" si="11"/>
        <v>Middle Age</v>
      </c>
      <c r="N771" t="s">
        <v>18</v>
      </c>
    </row>
    <row r="772" spans="1:14" x14ac:dyDescent="0.3">
      <c r="A772">
        <v>17699</v>
      </c>
      <c r="B772" t="s">
        <v>32</v>
      </c>
      <c r="C772" t="s">
        <v>34</v>
      </c>
      <c r="D772" s="1">
        <v>60000</v>
      </c>
      <c r="E772">
        <v>1</v>
      </c>
      <c r="F772" t="s">
        <v>30</v>
      </c>
      <c r="G772" t="s">
        <v>14</v>
      </c>
      <c r="H772" t="s">
        <v>18</v>
      </c>
      <c r="I772">
        <v>0</v>
      </c>
      <c r="J772" t="s">
        <v>16</v>
      </c>
      <c r="K772" t="s">
        <v>31</v>
      </c>
      <c r="L772">
        <v>55</v>
      </c>
      <c r="M772" t="str">
        <f t="shared" ref="M772:M835" si="12">IF(L772&gt;=54,"Old",IF(L772&gt;=31,"Middle Age",IF(L772&lt;31,"Adolescent","Invalid")))</f>
        <v>Old</v>
      </c>
      <c r="N772" t="s">
        <v>18</v>
      </c>
    </row>
    <row r="773" spans="1:14" x14ac:dyDescent="0.3">
      <c r="A773">
        <v>14657</v>
      </c>
      <c r="B773" t="s">
        <v>32</v>
      </c>
      <c r="C773" t="s">
        <v>34</v>
      </c>
      <c r="D773" s="1">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1">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1">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1">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1">
        <v>70000</v>
      </c>
      <c r="E777">
        <v>2</v>
      </c>
      <c r="F777" t="s">
        <v>29</v>
      </c>
      <c r="G777" t="s">
        <v>14</v>
      </c>
      <c r="H777" t="s">
        <v>15</v>
      </c>
      <c r="I777">
        <v>2</v>
      </c>
      <c r="J777" t="s">
        <v>42</v>
      </c>
      <c r="K777" t="s">
        <v>31</v>
      </c>
      <c r="L777">
        <v>54</v>
      </c>
      <c r="M777" t="str">
        <f t="shared" si="12"/>
        <v>Old</v>
      </c>
      <c r="N777" t="s">
        <v>18</v>
      </c>
    </row>
    <row r="778" spans="1:14" x14ac:dyDescent="0.3">
      <c r="A778">
        <v>26490</v>
      </c>
      <c r="B778" t="s">
        <v>33</v>
      </c>
      <c r="C778" t="s">
        <v>34</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34</v>
      </c>
      <c r="D779" s="1">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1">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1">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1">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34</v>
      </c>
      <c r="D783" s="1">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1">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1">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1">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1">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1">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1">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1">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1">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1">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1">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1">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34</v>
      </c>
      <c r="D797" s="1">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34</v>
      </c>
      <c r="D799" s="1">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1">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1">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1">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34</v>
      </c>
      <c r="D804" s="1">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1">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1">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1">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1">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1">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1">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1">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1">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1">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35</v>
      </c>
      <c r="D815" s="1">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35</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34</v>
      </c>
      <c r="D817" s="1">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1">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1">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1">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1">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1">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1">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1">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1">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1">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1">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1">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1">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1">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34</v>
      </c>
      <c r="D832" s="1">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1">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1">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1">
        <v>70000</v>
      </c>
      <c r="E835">
        <v>0</v>
      </c>
      <c r="F835" t="s">
        <v>13</v>
      </c>
      <c r="G835" t="s">
        <v>21</v>
      </c>
      <c r="H835" t="s">
        <v>18</v>
      </c>
      <c r="I835">
        <v>1</v>
      </c>
      <c r="J835" t="s">
        <v>16</v>
      </c>
      <c r="K835" t="s">
        <v>31</v>
      </c>
      <c r="L835">
        <v>37</v>
      </c>
      <c r="M835" t="str">
        <f t="shared" si="12"/>
        <v>Middle Age</v>
      </c>
      <c r="N835" t="s">
        <v>15</v>
      </c>
    </row>
    <row r="836" spans="1:14" x14ac:dyDescent="0.3">
      <c r="A836">
        <v>19889</v>
      </c>
      <c r="B836" t="s">
        <v>33</v>
      </c>
      <c r="C836" t="s">
        <v>35</v>
      </c>
      <c r="D836" s="1">
        <v>70000</v>
      </c>
      <c r="E836">
        <v>2</v>
      </c>
      <c r="F836" t="s">
        <v>29</v>
      </c>
      <c r="G836" t="s">
        <v>14</v>
      </c>
      <c r="H836" t="s">
        <v>18</v>
      </c>
      <c r="I836">
        <v>2</v>
      </c>
      <c r="J836" t="s">
        <v>22</v>
      </c>
      <c r="K836" t="s">
        <v>31</v>
      </c>
      <c r="L836">
        <v>54</v>
      </c>
      <c r="M836" t="str">
        <f t="shared" ref="M836:M899" si="13">IF(L836&gt;=54,"Old",IF(L836&gt;=31,"Middle Age",IF(L836&lt;31,"Adolescent","Invalid")))</f>
        <v>Old</v>
      </c>
      <c r="N836" t="s">
        <v>15</v>
      </c>
    </row>
    <row r="837" spans="1:14" x14ac:dyDescent="0.3">
      <c r="A837">
        <v>12922</v>
      </c>
      <c r="B837" t="s">
        <v>33</v>
      </c>
      <c r="C837" t="s">
        <v>35</v>
      </c>
      <c r="D837" s="1">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1">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1">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1">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1">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1">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34</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35</v>
      </c>
      <c r="D844" s="1">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1">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1">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35</v>
      </c>
      <c r="D847" s="1">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1">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1">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34</v>
      </c>
      <c r="D853" s="1">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1">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1">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1">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1">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1">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1">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1">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1">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1">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1">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1">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1">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1">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1">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1">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34</v>
      </c>
      <c r="D869" s="1">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1">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35</v>
      </c>
      <c r="D871" s="1">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1">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1">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35</v>
      </c>
      <c r="D874" s="1">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1">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1">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1">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1">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34</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34</v>
      </c>
      <c r="D881" s="1">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1">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34</v>
      </c>
      <c r="D884" s="1">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1">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35</v>
      </c>
      <c r="D887" s="1">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1">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1">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1">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1">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1">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1">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1">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1">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35</v>
      </c>
      <c r="D898" s="1">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1">
        <v>30000</v>
      </c>
      <c r="E899">
        <v>0</v>
      </c>
      <c r="F899" t="s">
        <v>29</v>
      </c>
      <c r="G899" t="s">
        <v>20</v>
      </c>
      <c r="H899" t="s">
        <v>18</v>
      </c>
      <c r="I899">
        <v>2</v>
      </c>
      <c r="J899" t="s">
        <v>16</v>
      </c>
      <c r="K899" t="s">
        <v>31</v>
      </c>
      <c r="L899">
        <v>28</v>
      </c>
      <c r="M899" t="str">
        <f t="shared" si="13"/>
        <v>Adolescent</v>
      </c>
      <c r="N899" t="s">
        <v>18</v>
      </c>
    </row>
    <row r="900" spans="1:14" x14ac:dyDescent="0.3">
      <c r="A900">
        <v>18066</v>
      </c>
      <c r="B900" t="s">
        <v>33</v>
      </c>
      <c r="C900" t="s">
        <v>34</v>
      </c>
      <c r="D900" s="1">
        <v>70000</v>
      </c>
      <c r="E900">
        <v>5</v>
      </c>
      <c r="F900" t="s">
        <v>13</v>
      </c>
      <c r="G900" t="s">
        <v>28</v>
      </c>
      <c r="H900" t="s">
        <v>15</v>
      </c>
      <c r="I900">
        <v>3</v>
      </c>
      <c r="J900" t="s">
        <v>42</v>
      </c>
      <c r="K900" t="s">
        <v>31</v>
      </c>
      <c r="L900">
        <v>60</v>
      </c>
      <c r="M900" t="str">
        <f t="shared" ref="M900:M963" si="14">IF(L900&gt;=54,"Old",IF(L900&gt;=31,"Middle Age",IF(L900&lt;31,"Adolescent","Invalid")))</f>
        <v>Old</v>
      </c>
      <c r="N900" t="s">
        <v>15</v>
      </c>
    </row>
    <row r="901" spans="1:14" x14ac:dyDescent="0.3">
      <c r="A901">
        <v>28192</v>
      </c>
      <c r="B901" t="s">
        <v>32</v>
      </c>
      <c r="C901" t="s">
        <v>35</v>
      </c>
      <c r="D901" s="1">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34</v>
      </c>
      <c r="D902" s="1">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1">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1">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1">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1">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1">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1">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34</v>
      </c>
      <c r="D910" s="1">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1">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1">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35</v>
      </c>
      <c r="D914" s="1">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1">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1">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1">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34</v>
      </c>
      <c r="D918" s="1">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1">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1">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1">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34</v>
      </c>
      <c r="D922" s="1">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1">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1">
        <v>40000</v>
      </c>
      <c r="E924">
        <v>3</v>
      </c>
      <c r="F924" t="s">
        <v>19</v>
      </c>
      <c r="G924" t="s">
        <v>21</v>
      </c>
      <c r="H924" t="s">
        <v>18</v>
      </c>
      <c r="I924">
        <v>2</v>
      </c>
      <c r="J924" t="s">
        <v>26</v>
      </c>
      <c r="K924" t="s">
        <v>31</v>
      </c>
      <c r="L924">
        <v>54</v>
      </c>
      <c r="M924" t="str">
        <f t="shared" si="14"/>
        <v>Old</v>
      </c>
      <c r="N924" t="s">
        <v>15</v>
      </c>
    </row>
    <row r="925" spans="1:14" x14ac:dyDescent="0.3">
      <c r="A925">
        <v>26728</v>
      </c>
      <c r="B925" t="s">
        <v>33</v>
      </c>
      <c r="C925" t="s">
        <v>34</v>
      </c>
      <c r="D925" s="1">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1">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1">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1">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35</v>
      </c>
      <c r="D929" s="1">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1">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1">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1">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35</v>
      </c>
      <c r="D933" s="1">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1">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1">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35</v>
      </c>
      <c r="D937" s="1">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34</v>
      </c>
      <c r="D939" s="1">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1">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1">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1">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1">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1">
        <v>40000</v>
      </c>
      <c r="E944">
        <v>3</v>
      </c>
      <c r="F944" t="s">
        <v>19</v>
      </c>
      <c r="G944" t="s">
        <v>21</v>
      </c>
      <c r="H944" t="s">
        <v>15</v>
      </c>
      <c r="I944">
        <v>2</v>
      </c>
      <c r="J944" t="s">
        <v>23</v>
      </c>
      <c r="K944" t="s">
        <v>31</v>
      </c>
      <c r="L944">
        <v>54</v>
      </c>
      <c r="M944" t="str">
        <f t="shared" si="14"/>
        <v>Old</v>
      </c>
      <c r="N944" t="s">
        <v>18</v>
      </c>
    </row>
    <row r="945" spans="1:14" x14ac:dyDescent="0.3">
      <c r="A945">
        <v>24322</v>
      </c>
      <c r="B945" t="s">
        <v>32</v>
      </c>
      <c r="C945" t="s">
        <v>35</v>
      </c>
      <c r="D945" s="1">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1">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1">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1">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1">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1">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35</v>
      </c>
      <c r="D952" s="1">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1">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1">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1">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1">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1">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1">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1">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1">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1">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1">
        <v>120000</v>
      </c>
      <c r="E963">
        <v>2</v>
      </c>
      <c r="F963" t="s">
        <v>13</v>
      </c>
      <c r="G963" t="s">
        <v>28</v>
      </c>
      <c r="H963" t="s">
        <v>15</v>
      </c>
      <c r="I963">
        <v>3</v>
      </c>
      <c r="J963" t="s">
        <v>23</v>
      </c>
      <c r="K963" t="s">
        <v>31</v>
      </c>
      <c r="L963">
        <v>62</v>
      </c>
      <c r="M963" t="str">
        <f t="shared" si="14"/>
        <v>Old</v>
      </c>
      <c r="N963" t="s">
        <v>18</v>
      </c>
    </row>
    <row r="964" spans="1:14" x14ac:dyDescent="0.3">
      <c r="A964">
        <v>16813</v>
      </c>
      <c r="B964" t="s">
        <v>32</v>
      </c>
      <c r="C964" t="s">
        <v>34</v>
      </c>
      <c r="D964" s="1">
        <v>60000</v>
      </c>
      <c r="E964">
        <v>2</v>
      </c>
      <c r="F964" t="s">
        <v>19</v>
      </c>
      <c r="G964" t="s">
        <v>21</v>
      </c>
      <c r="H964" t="s">
        <v>15</v>
      </c>
      <c r="I964">
        <v>2</v>
      </c>
      <c r="J964" t="s">
        <v>42</v>
      </c>
      <c r="K964" t="s">
        <v>31</v>
      </c>
      <c r="L964">
        <v>55</v>
      </c>
      <c r="M964" t="str">
        <f t="shared" ref="M964:M1001" si="15">IF(L964&gt;=54,"Old",IF(L964&gt;=31,"Middle Age",IF(L964&lt;31,"Adolescent","Invalid")))</f>
        <v>Old</v>
      </c>
      <c r="N964" t="s">
        <v>18</v>
      </c>
    </row>
    <row r="965" spans="1:14" x14ac:dyDescent="0.3">
      <c r="A965">
        <v>16007</v>
      </c>
      <c r="B965" t="s">
        <v>32</v>
      </c>
      <c r="C965" t="s">
        <v>35</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34</v>
      </c>
      <c r="D966" s="1">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35</v>
      </c>
      <c r="D967" s="1">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1">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34</v>
      </c>
      <c r="D970" s="1">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1">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1">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1">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1">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1">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1">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1">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1">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35</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34</v>
      </c>
      <c r="D980" s="1">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1">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1">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34</v>
      </c>
      <c r="D983" s="1">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1">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1">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1">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1">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1">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35</v>
      </c>
      <c r="D989" s="1">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34</v>
      </c>
      <c r="D990" s="1">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34</v>
      </c>
      <c r="D991" s="1">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35</v>
      </c>
      <c r="D992" s="1">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1">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1">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1">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1">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1">
        <v>60000</v>
      </c>
      <c r="E997" s="2">
        <v>2</v>
      </c>
      <c r="F997" t="s">
        <v>27</v>
      </c>
      <c r="G997" t="s">
        <v>21</v>
      </c>
      <c r="H997" t="s">
        <v>15</v>
      </c>
      <c r="I997">
        <v>2</v>
      </c>
      <c r="J997" t="s">
        <v>22</v>
      </c>
      <c r="K997" t="s">
        <v>31</v>
      </c>
      <c r="L997">
        <v>54</v>
      </c>
      <c r="M997" t="str">
        <f t="shared" si="15"/>
        <v>Old</v>
      </c>
      <c r="N997" t="s">
        <v>15</v>
      </c>
    </row>
    <row r="998" spans="1:14" x14ac:dyDescent="0.3">
      <c r="A998">
        <v>28672</v>
      </c>
      <c r="B998" t="s">
        <v>33</v>
      </c>
      <c r="C998" t="s">
        <v>34</v>
      </c>
      <c r="D998" s="1">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1">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1">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1">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7D585-8793-4352-990F-8C52BFF892FB}">
  <dimension ref="A3:E44"/>
  <sheetViews>
    <sheetView topLeftCell="C1" workbookViewId="0">
      <selection activeCell="C57" sqref="C57:E62"/>
    </sheetView>
  </sheetViews>
  <sheetFormatPr defaultRowHeight="14.4" x14ac:dyDescent="0.3"/>
  <cols>
    <col min="1" max="1" width="17" bestFit="1" customWidth="1"/>
    <col min="2" max="2" width="21.88671875" bestFit="1" customWidth="1"/>
    <col min="3" max="3" width="15.5546875" bestFit="1" customWidth="1"/>
    <col min="4" max="4" width="4" bestFit="1" customWidth="1"/>
    <col min="5" max="6" width="10.77734375" bestFit="1" customWidth="1"/>
  </cols>
  <sheetData>
    <row r="3" spans="1:4" x14ac:dyDescent="0.3">
      <c r="A3" s="3" t="s">
        <v>40</v>
      </c>
      <c r="B3" s="3" t="s">
        <v>39</v>
      </c>
    </row>
    <row r="4" spans="1:4" x14ac:dyDescent="0.3">
      <c r="A4" s="3" t="s">
        <v>37</v>
      </c>
      <c r="B4" t="s">
        <v>18</v>
      </c>
      <c r="C4" t="s">
        <v>15</v>
      </c>
      <c r="D4" t="s">
        <v>38</v>
      </c>
    </row>
    <row r="5" spans="1:4" x14ac:dyDescent="0.3">
      <c r="A5" s="4" t="s">
        <v>35</v>
      </c>
      <c r="B5" s="5">
        <v>54885.496183206109</v>
      </c>
      <c r="C5" s="5">
        <v>59259.259259259263</v>
      </c>
      <c r="D5" s="5">
        <v>56861.924686192469</v>
      </c>
    </row>
    <row r="6" spans="1:4" x14ac:dyDescent="0.3">
      <c r="A6" s="4" t="s">
        <v>34</v>
      </c>
      <c r="B6" s="5">
        <v>59431.818181818184</v>
      </c>
      <c r="C6" s="5">
        <v>61300.813008130084</v>
      </c>
      <c r="D6" s="5">
        <v>60200.668896321069</v>
      </c>
    </row>
    <row r="7" spans="1:4" x14ac:dyDescent="0.3">
      <c r="A7" s="4" t="s">
        <v>38</v>
      </c>
      <c r="B7" s="1">
        <v>57491.856677524433</v>
      </c>
      <c r="C7" s="1">
        <v>60346.320346320346</v>
      </c>
      <c r="D7" s="1">
        <v>58717.472118959107</v>
      </c>
    </row>
    <row r="20" spans="2:5" x14ac:dyDescent="0.3">
      <c r="B20" s="3" t="s">
        <v>41</v>
      </c>
      <c r="C20" s="3" t="s">
        <v>39</v>
      </c>
    </row>
    <row r="21" spans="2:5" x14ac:dyDescent="0.3">
      <c r="B21" s="3" t="s">
        <v>37</v>
      </c>
      <c r="C21" t="s">
        <v>18</v>
      </c>
      <c r="D21" t="s">
        <v>15</v>
      </c>
      <c r="E21" t="s">
        <v>38</v>
      </c>
    </row>
    <row r="22" spans="2:5" x14ac:dyDescent="0.3">
      <c r="B22" s="4" t="s">
        <v>16</v>
      </c>
      <c r="C22">
        <v>166</v>
      </c>
      <c r="D22">
        <v>200</v>
      </c>
      <c r="E22">
        <v>366</v>
      </c>
    </row>
    <row r="23" spans="2:5" x14ac:dyDescent="0.3">
      <c r="B23" s="4" t="s">
        <v>26</v>
      </c>
      <c r="C23">
        <v>92</v>
      </c>
      <c r="D23">
        <v>77</v>
      </c>
      <c r="E23">
        <v>169</v>
      </c>
    </row>
    <row r="24" spans="2:5" x14ac:dyDescent="0.3">
      <c r="B24" s="4" t="s">
        <v>22</v>
      </c>
      <c r="C24">
        <v>67</v>
      </c>
      <c r="D24">
        <v>95</v>
      </c>
      <c r="E24">
        <v>162</v>
      </c>
    </row>
    <row r="25" spans="2:5" x14ac:dyDescent="0.3">
      <c r="B25" s="4" t="s">
        <v>23</v>
      </c>
      <c r="C25">
        <v>116</v>
      </c>
      <c r="D25">
        <v>76</v>
      </c>
      <c r="E25">
        <v>192</v>
      </c>
    </row>
    <row r="26" spans="2:5" x14ac:dyDescent="0.3">
      <c r="B26" s="4" t="s">
        <v>42</v>
      </c>
      <c r="C26">
        <v>78</v>
      </c>
      <c r="D26">
        <v>33</v>
      </c>
      <c r="E26">
        <v>111</v>
      </c>
    </row>
    <row r="27" spans="2:5" x14ac:dyDescent="0.3">
      <c r="B27" s="4" t="s">
        <v>38</v>
      </c>
      <c r="C27">
        <v>519</v>
      </c>
      <c r="D27">
        <v>481</v>
      </c>
      <c r="E27">
        <v>1000</v>
      </c>
    </row>
    <row r="39" spans="2:5" x14ac:dyDescent="0.3">
      <c r="B39" s="3" t="s">
        <v>41</v>
      </c>
      <c r="C39" s="3" t="s">
        <v>39</v>
      </c>
    </row>
    <row r="40" spans="2:5" x14ac:dyDescent="0.3">
      <c r="B40" s="3" t="s">
        <v>37</v>
      </c>
      <c r="C40" t="s">
        <v>18</v>
      </c>
      <c r="D40" t="s">
        <v>15</v>
      </c>
      <c r="E40" t="s">
        <v>38</v>
      </c>
    </row>
    <row r="41" spans="2:5" x14ac:dyDescent="0.3">
      <c r="B41" s="4" t="s">
        <v>43</v>
      </c>
      <c r="C41">
        <v>71</v>
      </c>
      <c r="D41">
        <v>39</v>
      </c>
      <c r="E41">
        <v>110</v>
      </c>
    </row>
    <row r="42" spans="2:5" x14ac:dyDescent="0.3">
      <c r="B42" s="4" t="s">
        <v>44</v>
      </c>
      <c r="C42">
        <v>312</v>
      </c>
      <c r="D42">
        <v>372</v>
      </c>
      <c r="E42">
        <v>684</v>
      </c>
    </row>
    <row r="43" spans="2:5" x14ac:dyDescent="0.3">
      <c r="B43" s="4" t="s">
        <v>45</v>
      </c>
      <c r="C43">
        <v>136</v>
      </c>
      <c r="D43">
        <v>70</v>
      </c>
      <c r="E43">
        <v>206</v>
      </c>
    </row>
    <row r="44" spans="2:5" x14ac:dyDescent="0.3">
      <c r="B44" s="4" t="s">
        <v>38</v>
      </c>
      <c r="C44">
        <v>519</v>
      </c>
      <c r="D44">
        <v>481</v>
      </c>
      <c r="E44">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3CAC-5473-4B7E-A3B7-A0B339427F26}">
  <dimension ref="A1:K6"/>
  <sheetViews>
    <sheetView showGridLines="0" tabSelected="1" topLeftCell="A4" workbookViewId="0">
      <selection activeCell="O23" sqref="O23"/>
    </sheetView>
  </sheetViews>
  <sheetFormatPr defaultRowHeight="14.4" x14ac:dyDescent="0.3"/>
  <sheetData>
    <row r="1" spans="1:11" x14ac:dyDescent="0.3">
      <c r="A1" s="6" t="s">
        <v>46</v>
      </c>
      <c r="B1" s="7"/>
      <c r="C1" s="7"/>
      <c r="D1" s="7"/>
      <c r="E1" s="7"/>
      <c r="F1" s="7"/>
      <c r="G1" s="7"/>
      <c r="H1" s="7"/>
      <c r="I1" s="7"/>
      <c r="J1" s="7"/>
      <c r="K1" s="7"/>
    </row>
    <row r="2" spans="1:11" x14ac:dyDescent="0.3">
      <c r="A2" s="7"/>
      <c r="B2" s="7"/>
      <c r="C2" s="7"/>
      <c r="D2" s="7"/>
      <c r="E2" s="7"/>
      <c r="F2" s="7"/>
      <c r="G2" s="7"/>
      <c r="H2" s="7"/>
      <c r="I2" s="7"/>
      <c r="J2" s="7"/>
      <c r="K2" s="7"/>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row r="6" spans="1:11" x14ac:dyDescent="0.3">
      <c r="A6" s="7"/>
      <c r="B6" s="7"/>
      <c r="C6" s="7"/>
      <c r="D6" s="7"/>
      <c r="E6" s="7"/>
      <c r="F6" s="7"/>
      <c r="G6" s="7"/>
      <c r="H6" s="7"/>
      <c r="I6" s="7"/>
      <c r="J6" s="7"/>
      <c r="K6" s="7"/>
    </row>
  </sheetData>
  <mergeCells count="1">
    <mergeCell ref="A1:K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bhatnagar</dc:creator>
  <cp:lastModifiedBy>Daksh Bhatnagar</cp:lastModifiedBy>
  <dcterms:created xsi:type="dcterms:W3CDTF">2022-03-18T02:50:57Z</dcterms:created>
  <dcterms:modified xsi:type="dcterms:W3CDTF">2026-02-15T10:07:01Z</dcterms:modified>
</cp:coreProperties>
</file>